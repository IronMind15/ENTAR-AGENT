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tabRatio="637" firstSheet="1" activeTab="5"/>
  </bookViews>
  <sheets>
    <sheet name="说明" sheetId="13" r:id="rId1"/>
    <sheet name="遥控（DO）" sheetId="1" r:id="rId2"/>
    <sheet name="遥调（AO）" sheetId="2" r:id="rId3"/>
    <sheet name="遥测(AI)" sheetId="3" r:id="rId4"/>
    <sheet name="遥信（DI）" sheetId="4" r:id="rId5"/>
    <sheet name="通信设置参数" sheetId="9" r:id="rId6"/>
    <sheet name="BMS数据" sheetId="5" r:id="rId7"/>
    <sheet name="ARM-DSP交互参数" sheetId="7" r:id="rId8"/>
    <sheet name="单板测试参数" sheetId="12" r:id="rId9"/>
    <sheet name="安规" sheetId="14" r:id="rId10"/>
  </sheets>
  <definedNames>
    <definedName name="_xlnm._FilterDatabase" localSheetId="4" hidden="1">'遥信（DI）'!$I:$I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<sst xmlns="http://schemas.openxmlformats.org/spreadsheetml/2006/main" count="4829" uniqueCount="1523">
  <si>
    <r>
      <rPr>
        <b/>
        <sz val="16"/>
        <color rgb="FFFF0000"/>
        <rFont val="等线"/>
        <charset val="134"/>
        <scheme val="minor"/>
      </rPr>
      <t>更新参数表注意事项</t>
    </r>
    <r>
      <rPr>
        <sz val="11"/>
        <color rgb="FFFF0000"/>
        <rFont val="等线"/>
        <charset val="134"/>
        <scheme val="minor"/>
      </rPr>
      <t xml:space="preserve">
</t>
    </r>
  </si>
  <si>
    <r>
      <rPr>
        <sz val="11"/>
        <color theme="1"/>
        <rFont val="等线"/>
        <charset val="134"/>
        <scheme val="minor"/>
      </rPr>
      <t>添加修改参数表行需要确保存在</t>
    </r>
    <r>
      <rPr>
        <sz val="11"/>
        <color rgb="FFFF0000"/>
        <rFont val="等线"/>
        <charset val="134"/>
        <scheme val="minor"/>
      </rPr>
      <t>名称、地址、属性、数据类型</t>
    </r>
  </si>
  <si>
    <r>
      <rPr>
        <sz val="11"/>
        <color theme="1"/>
        <rFont val="等线"/>
        <charset val="134"/>
        <scheme val="minor"/>
      </rPr>
      <t>添加修改范围列必须是</t>
    </r>
    <r>
      <rPr>
        <sz val="11"/>
        <color rgb="FFFF0000"/>
        <rFont val="等线"/>
        <charset val="134"/>
        <scheme val="minor"/>
      </rPr>
      <t>十进制数字</t>
    </r>
  </si>
  <si>
    <r>
      <rPr>
        <sz val="11"/>
        <color theme="1"/>
        <rFont val="等线"/>
        <charset val="134"/>
        <scheme val="minor"/>
      </rPr>
      <t>遥控（DO）、遥信（DI）如果采用</t>
    </r>
    <r>
      <rPr>
        <sz val="11"/>
        <color rgb="FFFF0000"/>
        <rFont val="等线"/>
        <charset val="134"/>
        <scheme val="minor"/>
      </rPr>
      <t>比特位</t>
    </r>
    <r>
      <rPr>
        <sz val="11"/>
        <color theme="1"/>
        <rFont val="等线"/>
        <charset val="134"/>
        <scheme val="minor"/>
      </rPr>
      <t>确保明确</t>
    </r>
  </si>
  <si>
    <t>序号</t>
  </si>
  <si>
    <t>名称</t>
  </si>
  <si>
    <t>地址</t>
  </si>
  <si>
    <t>位地址</t>
  </si>
  <si>
    <t>属性</t>
  </si>
  <si>
    <t>数据类型</t>
  </si>
  <si>
    <t>默认值</t>
  </si>
  <si>
    <t>备注</t>
  </si>
  <si>
    <t>故障复位</t>
  </si>
  <si>
    <t>0x0000</t>
  </si>
  <si>
    <t>bit0</t>
  </si>
  <si>
    <t>R/W</t>
  </si>
  <si>
    <t>bit</t>
  </si>
  <si>
    <t xml:space="preserve">1-复位
</t>
  </si>
  <si>
    <t>设备启动</t>
  </si>
  <si>
    <t>bit1</t>
  </si>
  <si>
    <t xml:space="preserve">1-启动
</t>
  </si>
  <si>
    <t>设备停机</t>
  </si>
  <si>
    <t>bit2</t>
  </si>
  <si>
    <t>1-停机</t>
  </si>
  <si>
    <t>系统急停</t>
  </si>
  <si>
    <t>bit3</t>
  </si>
  <si>
    <t xml:space="preserve">1-紧急停机
</t>
  </si>
  <si>
    <t>系统重启</t>
  </si>
  <si>
    <t>bit4</t>
  </si>
  <si>
    <t xml:space="preserve">1-系统重启
</t>
  </si>
  <si>
    <t>待机</t>
  </si>
  <si>
    <t>bit5</t>
  </si>
  <si>
    <t xml:space="preserve">1-待机
</t>
  </si>
  <si>
    <t>累计充电电量清零</t>
  </si>
  <si>
    <t>bit6</t>
  </si>
  <si>
    <t>1-清零</t>
  </si>
  <si>
    <t>累计放电电量清零</t>
  </si>
  <si>
    <t>bit7</t>
  </si>
  <si>
    <t>预留</t>
  </si>
  <si>
    <t>bit8</t>
  </si>
  <si>
    <t>bit9</t>
  </si>
  <si>
    <t>bit10</t>
  </si>
  <si>
    <t>bit11</t>
  </si>
  <si>
    <t>bit12</t>
  </si>
  <si>
    <t>bit13</t>
  </si>
  <si>
    <t>bit14</t>
  </si>
  <si>
    <t>bit15</t>
  </si>
  <si>
    <t>分类</t>
  </si>
  <si>
    <t>范围</t>
  </si>
  <si>
    <t>单位</t>
  </si>
  <si>
    <t>存储</t>
  </si>
  <si>
    <t>远程/本地设置</t>
  </si>
  <si>
    <t>U16</t>
  </si>
  <si>
    <t>0~2</t>
  </si>
  <si>
    <t>0-本地手动
1-本地自动
2-远程控制</t>
  </si>
  <si>
    <t>是</t>
  </si>
  <si>
    <t>启动方式</t>
  </si>
  <si>
    <t>0-手动启动
1-自动启动
2-停机后禁止自启动</t>
  </si>
  <si>
    <t>并离网设置</t>
  </si>
  <si>
    <t>0~3</t>
  </si>
  <si>
    <r>
      <rPr>
        <sz val="11"/>
        <color rgb="FF000000"/>
        <rFont val="宋体"/>
        <charset val="134"/>
      </rPr>
      <t xml:space="preserve">0-并网
1-离网电压环
2-离网开环
3-电网治理模式
</t>
    </r>
    <r>
      <rPr>
        <sz val="11"/>
        <rFont val="宋体"/>
        <charset val="134"/>
      </rPr>
      <t>4-分相</t>
    </r>
    <r>
      <rPr>
        <sz val="11"/>
        <color rgb="FF000000"/>
        <rFont val="宋体"/>
        <charset val="134"/>
      </rPr>
      <t xml:space="preserve">
editor</t>
    </r>
  </si>
  <si>
    <t>运行模式</t>
  </si>
  <si>
    <t>0~5</t>
  </si>
  <si>
    <t>0-恒交流功率
1-恒压
2-恒流
3-预留
4-恒直流功率
5-交流单相恒功率</t>
  </si>
  <si>
    <t>离网设置</t>
  </si>
  <si>
    <t>离网频率设定</t>
  </si>
  <si>
    <t>45~65</t>
  </si>
  <si>
    <t>0.01Hz</t>
  </si>
  <si>
    <t>额定频率
editor</t>
  </si>
  <si>
    <t>离网电压设定</t>
  </si>
  <si>
    <t>200~240</t>
  </si>
  <si>
    <t>0.01Vn</t>
  </si>
  <si>
    <t>额定电压
editor</t>
  </si>
  <si>
    <t>A相有功功率给定</t>
  </si>
  <si>
    <t>－200~200</t>
  </si>
  <si>
    <t>0.1kW</t>
  </si>
  <si>
    <t xml:space="preserve"> </t>
  </si>
  <si>
    <t>B相有功功率给定</t>
  </si>
  <si>
    <t>C相有功功率给定</t>
  </si>
  <si>
    <t>充电设置</t>
  </si>
  <si>
    <t>恒压充电电压设定值</t>
  </si>
  <si>
    <t>600~1000</t>
  </si>
  <si>
    <t>0.1V</t>
  </si>
  <si>
    <t>恒流充电电流设定值</t>
  </si>
  <si>
    <t>S16</t>
  </si>
  <si>
    <t>－300~300</t>
  </si>
  <si>
    <t>0.1A</t>
  </si>
  <si>
    <t>并网频率和功率设置</t>
  </si>
  <si>
    <t>有功控制模式</t>
  </si>
  <si>
    <t>0-设置有功
1-电压-有功调节
2-频率-有功调节
3-电压&amp;频率-有功调节
editor</t>
  </si>
  <si>
    <t>无功控制模式</t>
  </si>
  <si>
    <t>0-禁用
1-设置无功
2-设置PF
3-电压-无功调节
4-有功-PF调节
5-有功-无功调节
editor</t>
  </si>
  <si>
    <t>有功功率设置</t>
  </si>
  <si>
    <t>+0放电, 功率从电网到电池 
-0充电, 功率从电池到电网
editor</t>
  </si>
  <si>
    <t>无功功率设置</t>
  </si>
  <si>
    <t>0.1kVar</t>
  </si>
  <si>
    <t>+: 滞后
-: 超前
editor
EMS</t>
  </si>
  <si>
    <t>功率因数设置</t>
  </si>
  <si>
    <t>－1~1</t>
  </si>
  <si>
    <r>
      <rPr>
        <sz val="11"/>
        <color rgb="FF000000"/>
        <rFont val="宋体"/>
        <charset val="134"/>
      </rPr>
      <t>功率</t>
    </r>
    <r>
      <rPr>
        <sz val="11"/>
        <color rgb="FF000000"/>
        <rFont val="宋体"/>
        <charset val="134"/>
      </rPr>
      <t>±</t>
    </r>
    <r>
      <rPr>
        <sz val="11"/>
        <color rgb="FF000000"/>
        <rFont val="宋体"/>
        <charset val="134"/>
      </rPr>
      <t>定义</t>
    </r>
  </si>
  <si>
    <t>0~1</t>
  </si>
  <si>
    <t>0:+放电 -充电
1:+充电 -放电</t>
  </si>
  <si>
    <t>功率变化模式</t>
  </si>
  <si>
    <t>0-阶跃,1-斜率</t>
  </si>
  <si>
    <t>常规功率变化率</t>
  </si>
  <si>
    <t>0.0001~3</t>
  </si>
  <si>
    <t>0.0001*Pn/s</t>
  </si>
  <si>
    <t>软启动功率变化率</t>
  </si>
  <si>
    <t>电网恢复延时</t>
  </si>
  <si>
    <t>0~1800</t>
  </si>
  <si>
    <t>1s</t>
  </si>
  <si>
    <t>功率补偿系数</t>
  </si>
  <si>
    <t>正直流侧继电器控制</t>
  </si>
  <si>
    <t>0-断开
1-闭合</t>
  </si>
  <si>
    <t>负直流侧继电器控制</t>
  </si>
  <si>
    <t>绝缘检测</t>
  </si>
  <si>
    <t>绝缘阻值故障阈值</t>
  </si>
  <si>
    <t>0~65535</t>
  </si>
  <si>
    <t>1KΩ</t>
  </si>
  <si>
    <t>绝缘阻抗检测功能</t>
  </si>
  <si>
    <t>0-关闭
1-检测（连续检测，重新上电即检测）
editor</t>
  </si>
  <si>
    <t>绝缘阻值告警阈值</t>
  </si>
  <si>
    <t>孤岛检测</t>
  </si>
  <si>
    <t>孤岛检测使能</t>
  </si>
  <si>
    <t>0-关闭,1-开启</t>
  </si>
  <si>
    <t>主动孤岛检测控制功能</t>
  </si>
  <si>
    <t>0-关闭,1-开启
editor</t>
  </si>
  <si>
    <t>穿越</t>
  </si>
  <si>
    <t>急停信号常态定义</t>
  </si>
  <si>
    <t>0-常闭(正常运行),1-常开（正常运行）设备重启生效</t>
  </si>
  <si>
    <t>高低压穿越控制功能</t>
  </si>
  <si>
    <t>A相无功功率给定</t>
  </si>
  <si>
    <t>B相无功功率给定</t>
  </si>
  <si>
    <t>C相无功功率给定</t>
  </si>
  <si>
    <t>下垂控制</t>
  </si>
  <si>
    <t>控制功能使能位</t>
  </si>
  <si>
    <t>0-关闭,1-使能
bit0：启机放电1KW
bit1-15：预留</t>
  </si>
  <si>
    <r>
      <rPr>
        <sz val="11"/>
        <color rgb="FF000000"/>
        <rFont val="宋体"/>
        <charset val="134"/>
      </rPr>
      <t>有功</t>
    </r>
    <r>
      <rPr>
        <sz val="11"/>
        <color rgb="FF000000"/>
        <rFont val="宋体"/>
        <charset val="134"/>
      </rPr>
      <t>-</t>
    </r>
    <r>
      <rPr>
        <sz val="11"/>
        <color rgb="FF000000"/>
        <rFont val="宋体"/>
        <charset val="134"/>
      </rPr>
      <t>频率下垂比例系数</t>
    </r>
  </si>
  <si>
    <t>离网逆变器侧电压滤波参数</t>
  </si>
  <si>
    <t>虚拟同步机</t>
  </si>
  <si>
    <r>
      <rPr>
        <sz val="11"/>
        <color rgb="FF000000"/>
        <rFont val="宋体"/>
        <charset val="134"/>
      </rPr>
      <t>有功功率设定</t>
    </r>
    <r>
      <rPr>
        <sz val="11"/>
        <color rgb="FF000000"/>
        <rFont val="宋体"/>
        <charset val="134"/>
      </rPr>
      <t>(VSG)</t>
    </r>
  </si>
  <si>
    <t>－145~145</t>
  </si>
  <si>
    <r>
      <rPr>
        <sz val="11"/>
        <color rgb="FF000000"/>
        <rFont val="宋体"/>
        <charset val="134"/>
      </rPr>
      <t>无功功率设定</t>
    </r>
    <r>
      <rPr>
        <sz val="11"/>
        <color rgb="FF000000"/>
        <rFont val="宋体"/>
        <charset val="134"/>
      </rPr>
      <t>(VSG)</t>
    </r>
  </si>
  <si>
    <t>0.1VAr</t>
  </si>
  <si>
    <t>并机设置</t>
  </si>
  <si>
    <t>同步模式</t>
  </si>
  <si>
    <t>并机通信ID</t>
  </si>
  <si>
    <t>1~255</t>
  </si>
  <si>
    <t>载波同步延时</t>
  </si>
  <si>
    <t>0~255</t>
  </si>
  <si>
    <t>can同步延时</t>
  </si>
  <si>
    <t>厂商特有功能设置</t>
  </si>
  <si>
    <t>交流额定电压有效值</t>
  </si>
  <si>
    <t>0~300</t>
  </si>
  <si>
    <t>PCS额定功率</t>
  </si>
  <si>
    <t>调试模式</t>
  </si>
  <si>
    <t>1-启用调试模式（波形数据通过以太网实时上传）
0-正式模式（波形数据，在录波状态为1后上传至云端）</t>
  </si>
  <si>
    <t>海拔高度</t>
  </si>
  <si>
    <t>额定电压等级</t>
  </si>
  <si>
    <t>功率主机设置</t>
  </si>
  <si>
    <t>0:从机
1:主机</t>
  </si>
  <si>
    <t>标准参考</t>
  </si>
  <si>
    <t xml:space="preserve">0:电网 </t>
  </si>
  <si>
    <t>逆变器类型</t>
  </si>
  <si>
    <t>交流进线方式</t>
  </si>
  <si>
    <t>电网容量限值</t>
  </si>
  <si>
    <t>电池上下限</t>
  </si>
  <si>
    <t>电池电压上限阈值</t>
  </si>
  <si>
    <t>600~1500</t>
  </si>
  <si>
    <t>电池电压下限阈值</t>
  </si>
  <si>
    <t>580~1000</t>
  </si>
  <si>
    <t>充放电保护</t>
  </si>
  <si>
    <t>最大充电功率</t>
  </si>
  <si>
    <t>0~145</t>
  </si>
  <si>
    <t>各设备最大充电功率实际范围：
125：0~150（短时）
145：0~159.5
150：0~180（短时）</t>
  </si>
  <si>
    <t>最大放电功率</t>
  </si>
  <si>
    <t>各设备最大放电功率实际范围：
125：0~150（短时）
145：0~159.5
150：0~180（短时）</t>
  </si>
  <si>
    <t>最大充电电流</t>
  </si>
  <si>
    <t>1A</t>
  </si>
  <si>
    <t>最大放电电流</t>
  </si>
  <si>
    <t>分段保护设置</t>
  </si>
  <si>
    <t>电流环Kp</t>
  </si>
  <si>
    <t>0.01~1</t>
  </si>
  <si>
    <t>电流环Ki</t>
  </si>
  <si>
    <t>0.001~0.1</t>
  </si>
  <si>
    <t>电网电压采样滤波值</t>
  </si>
  <si>
    <t>重复控制增益参数</t>
  </si>
  <si>
    <t>重复控制补偿参数</t>
  </si>
  <si>
    <t>重复控制滤波参数</t>
  </si>
  <si>
    <t>电网电压全前馈一次微分系数</t>
  </si>
  <si>
    <t>0.001~10</t>
  </si>
  <si>
    <t>电网电压全前馈二次微分系数</t>
  </si>
  <si>
    <t>离网PR电压环kp</t>
  </si>
  <si>
    <t>0x1045</t>
  </si>
  <si>
    <t>0.001~100</t>
  </si>
  <si>
    <t>离网PR电压环kr</t>
  </si>
  <si>
    <t>0x1046</t>
  </si>
  <si>
    <t>离网PR电流环kp</t>
  </si>
  <si>
    <t>0x1047</t>
  </si>
  <si>
    <t>离网PR电流环kr</t>
  </si>
  <si>
    <t>0x1048</t>
  </si>
  <si>
    <t>欠频I段保护范围</t>
  </si>
  <si>
    <r>
      <rPr>
        <sz val="11"/>
        <color theme="1"/>
        <rFont val="宋体"/>
        <charset val="134"/>
      </rPr>
      <t>欠频</t>
    </r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段保护时间</t>
    </r>
  </si>
  <si>
    <r>
      <rPr>
        <sz val="11"/>
        <color theme="1"/>
        <rFont val="宋体"/>
        <charset val="134"/>
      </rPr>
      <t>欠频</t>
    </r>
    <r>
      <rPr>
        <sz val="11"/>
        <color theme="1"/>
        <rFont val="宋体"/>
        <charset val="134"/>
      </rPr>
      <t>II</t>
    </r>
    <r>
      <rPr>
        <sz val="11"/>
        <color theme="1"/>
        <rFont val="宋体"/>
        <charset val="134"/>
      </rPr>
      <t>段保护范围</t>
    </r>
  </si>
  <si>
    <r>
      <rPr>
        <sz val="11"/>
        <color theme="1"/>
        <rFont val="宋体"/>
        <charset val="134"/>
      </rPr>
      <t>欠频</t>
    </r>
    <r>
      <rPr>
        <sz val="11"/>
        <color theme="1"/>
        <rFont val="宋体"/>
        <charset val="134"/>
      </rPr>
      <t>II</t>
    </r>
    <r>
      <rPr>
        <sz val="11"/>
        <color theme="1"/>
        <rFont val="宋体"/>
        <charset val="134"/>
      </rPr>
      <t>段保护时间</t>
    </r>
  </si>
  <si>
    <t>功率过温阈值</t>
  </si>
  <si>
    <t>0~150</t>
  </si>
  <si>
    <t>1°C</t>
  </si>
  <si>
    <t>电感过温阈值</t>
  </si>
  <si>
    <t>环境过温阈值</t>
  </si>
  <si>
    <t>冷却系统过温阈值</t>
  </si>
  <si>
    <t>功率步长</t>
  </si>
  <si>
    <t>10~500</t>
  </si>
  <si>
    <t>1ms</t>
  </si>
  <si>
    <t>直流电流</t>
  </si>
  <si>
    <t>峰值</t>
  </si>
  <si>
    <t>交流电流</t>
  </si>
  <si>
    <t>0~400</t>
  </si>
  <si>
    <t>版本号</t>
  </si>
  <si>
    <t xml:space="preserve">ARM 版本 </t>
  </si>
  <si>
    <t>R</t>
  </si>
  <si>
    <t xml:space="preserve">U16 </t>
  </si>
  <si>
    <t>0~6.5535</t>
  </si>
  <si>
    <t xml:space="preserve">DSP CPU1 版本 </t>
  </si>
  <si>
    <t xml:space="preserve">DSP CPU2 版本 </t>
  </si>
  <si>
    <t>直流侧</t>
  </si>
  <si>
    <t>电池电压</t>
  </si>
  <si>
    <t xml:space="preserve">S16 </t>
  </si>
  <si>
    <t>－2000~2000</t>
  </si>
  <si>
    <t xml:space="preserve">0.1V </t>
  </si>
  <si>
    <t>EMS</t>
  </si>
  <si>
    <t>－400~400</t>
  </si>
  <si>
    <t>直流功率</t>
  </si>
  <si>
    <t>0.1 kW</t>
  </si>
  <si>
    <t>功率因数</t>
  </si>
  <si>
    <t>交流母线总功率因数</t>
  </si>
  <si>
    <t>交流母线A相功率因数</t>
  </si>
  <si>
    <t>交流母线B相功率因数</t>
  </si>
  <si>
    <t>交流母线C相功率因数</t>
  </si>
  <si>
    <t>交流侧电压及电流</t>
  </si>
  <si>
    <t xml:space="preserve">A相电网电压 </t>
  </si>
  <si>
    <t>0~500</t>
  </si>
  <si>
    <t xml:space="preserve">B相电网电压 </t>
  </si>
  <si>
    <t xml:space="preserve">C相电网电压 </t>
  </si>
  <si>
    <t>AB相电网线电压</t>
  </si>
  <si>
    <t>0~600</t>
  </si>
  <si>
    <t>BC相电网线电压</t>
  </si>
  <si>
    <t>CA相电网线电压</t>
  </si>
  <si>
    <t xml:space="preserve">A相输出电压 </t>
  </si>
  <si>
    <t xml:space="preserve">B相输出电压 </t>
  </si>
  <si>
    <t xml:space="preserve">C相输出电压 </t>
  </si>
  <si>
    <t>AB相输出线电压</t>
  </si>
  <si>
    <t>BC相输出线电压</t>
  </si>
  <si>
    <t>CA相输出线电压</t>
  </si>
  <si>
    <t xml:space="preserve">PCS 输出 A 相电流 </t>
  </si>
  <si>
    <t>－500~500</t>
  </si>
  <si>
    <t xml:space="preserve">PCS 输出 B 相电流 </t>
  </si>
  <si>
    <t xml:space="preserve">PCS 输出 C 相电流 </t>
  </si>
  <si>
    <t>N 相电流有效值</t>
  </si>
  <si>
    <t>电网频率</t>
  </si>
  <si>
    <t>0~100</t>
  </si>
  <si>
    <t>锁相环输出的电网电压</t>
  </si>
  <si>
    <t>交流功率</t>
  </si>
  <si>
    <t>交流母线总有功功率</t>
  </si>
  <si>
    <t>－150~150</t>
  </si>
  <si>
    <t>交流母线A相有功功率</t>
  </si>
  <si>
    <t>交流母线B相有功功率</t>
  </si>
  <si>
    <t>交流母线C相有功功率</t>
  </si>
  <si>
    <t>交流母线总无功功率</t>
  </si>
  <si>
    <t>0.1kVAr</t>
  </si>
  <si>
    <t>交流母线A相无功功率</t>
  </si>
  <si>
    <t>交流母线B相无功功率</t>
  </si>
  <si>
    <t>交流母线C相无功功率</t>
  </si>
  <si>
    <t>交流母线总视在功率</t>
  </si>
  <si>
    <t>0.1kVA</t>
  </si>
  <si>
    <t>交流母线A相视在功率</t>
  </si>
  <si>
    <t>交流母线B相视在功率</t>
  </si>
  <si>
    <t>交流母线C相视在功率</t>
  </si>
  <si>
    <t>可用有功容量</t>
  </si>
  <si>
    <t>当前允许最大视在功率</t>
  </si>
  <si>
    <t>温度</t>
  </si>
  <si>
    <t>模块温度</t>
  </si>
  <si>
    <t>0.1°C</t>
  </si>
  <si>
    <t>环境温度</t>
  </si>
  <si>
    <t>-50~150</t>
  </si>
  <si>
    <t>A相功率器件温度</t>
  </si>
  <si>
    <t>B相功率器件温度</t>
  </si>
  <si>
    <t>C相功率器件温度</t>
  </si>
  <si>
    <t>N相功率器件温度</t>
  </si>
  <si>
    <t>电感温度</t>
  </si>
  <si>
    <t>母线电压</t>
  </si>
  <si>
    <t>-3276.8~3276.7</t>
  </si>
  <si>
    <t>漏电流</t>
  </si>
  <si>
    <t>1mA</t>
  </si>
  <si>
    <t>对地绝缘阻抗</t>
  </si>
  <si>
    <r>
      <rPr>
        <sz val="11"/>
        <color theme="1"/>
        <rFont val="宋体"/>
        <charset val="134"/>
      </rPr>
      <t>1k</t>
    </r>
    <r>
      <rPr>
        <sz val="11"/>
        <color theme="1"/>
        <rFont val="Calibri"/>
        <charset val="134"/>
      </rPr>
      <t>Ω</t>
    </r>
  </si>
  <si>
    <t>电量</t>
  </si>
  <si>
    <t xml:space="preserve">今日充电量 </t>
  </si>
  <si>
    <t>0~6553.5</t>
  </si>
  <si>
    <t xml:space="preserve">0.1kWh </t>
  </si>
  <si>
    <t xml:space="preserve">今日放电量 </t>
  </si>
  <si>
    <t>0.1kWh</t>
  </si>
  <si>
    <t xml:space="preserve">直流累计充电量 Low </t>
  </si>
  <si>
    <t xml:space="preserve">直流累计充电量 High </t>
  </si>
  <si>
    <t xml:space="preserve">直流累计放电量 Low </t>
  </si>
  <si>
    <t xml:space="preserve">直流累计放电量 High </t>
  </si>
  <si>
    <t>继电器状态</t>
  </si>
  <si>
    <t>bit0:正继电器 0：断开 1：吸合
bit1:负继电器 0：断开 1：吸合
bit2:预充继电器 0：断开 1：吸合</t>
  </si>
  <si>
    <t>设备内部湿度</t>
  </si>
  <si>
    <t>0.1RH</t>
  </si>
  <si>
    <t xml:space="preserve">DSP CPU1 项目号 </t>
  </si>
  <si>
    <t>DSP CPU1 硬件版本</t>
  </si>
  <si>
    <t xml:space="preserve">DSP CPU2 项目号 </t>
  </si>
  <si>
    <t>DSP CPU2 硬件版本</t>
  </si>
  <si>
    <t xml:space="preserve">ARM 项目号 </t>
  </si>
  <si>
    <t>ARM 硬件版本号</t>
  </si>
  <si>
    <t/>
  </si>
  <si>
    <t>说明</t>
  </si>
  <si>
    <t>故障代码</t>
  </si>
  <si>
    <t>故障原因</t>
  </si>
  <si>
    <t>系统故障状态</t>
  </si>
  <si>
    <t>0x3000</t>
  </si>
  <si>
    <t>1-故障，0-正常</t>
  </si>
  <si>
    <t>1-故障,0-正常</t>
  </si>
  <si>
    <t>系统告警状态</t>
  </si>
  <si>
    <t>1-告警，0-正常</t>
  </si>
  <si>
    <t>1-告警,0-正常</t>
  </si>
  <si>
    <t>系统降额状态</t>
  </si>
  <si>
    <t>1-降额，0-正常</t>
  </si>
  <si>
    <t>1-降额,0-正常</t>
  </si>
  <si>
    <t>系统启动中状态</t>
  </si>
  <si>
    <t>1-启动中，0-否</t>
  </si>
  <si>
    <t>1-启动中,0-否</t>
  </si>
  <si>
    <t>some module is booting</t>
  </si>
  <si>
    <t>系统并网状态</t>
  </si>
  <si>
    <t>1-并网，0-否</t>
  </si>
  <si>
    <t>1-并网,0-否</t>
  </si>
  <si>
    <t>系统离网状态</t>
  </si>
  <si>
    <t>1-离网，0-否</t>
  </si>
  <si>
    <t>1-离网,0-否</t>
  </si>
  <si>
    <t>系统失效状态</t>
  </si>
  <si>
    <t>1-失效，0-正常</t>
  </si>
  <si>
    <t>模块失效</t>
  </si>
  <si>
    <t>系统启停状态</t>
  </si>
  <si>
    <t>1-运行，0-停止</t>
  </si>
  <si>
    <t>1-运行,0-停止</t>
  </si>
  <si>
    <t>启动态运行灯亮起</t>
  </si>
  <si>
    <t>系统待机状态</t>
  </si>
  <si>
    <t>1-待机，0-否</t>
  </si>
  <si>
    <t>1-待机,0-否</t>
  </si>
  <si>
    <t>系统充电状态</t>
  </si>
  <si>
    <t>1-充电，0-否</t>
  </si>
  <si>
    <t>1-充电,0-否</t>
  </si>
  <si>
    <t>系统放电状态</t>
  </si>
  <si>
    <t>1-放电，0-否</t>
  </si>
  <si>
    <t>1-放电,0-否</t>
  </si>
  <si>
    <t>系统充满状态</t>
  </si>
  <si>
    <t>1-是，0-否</t>
  </si>
  <si>
    <t>1-是,0-否</t>
  </si>
  <si>
    <t>系统放空状态</t>
  </si>
  <si>
    <t>系统均充状态</t>
  </si>
  <si>
    <r>
      <rPr>
        <sz val="11"/>
        <rFont val="SimSun"/>
        <charset val="134"/>
      </rPr>
      <t>远程</t>
    </r>
    <r>
      <rPr>
        <sz val="11"/>
        <rFont val="TimesNewRomanPSMT"/>
        <charset val="134"/>
      </rPr>
      <t>/</t>
    </r>
    <r>
      <rPr>
        <sz val="11"/>
        <rFont val="SimSun"/>
        <charset val="134"/>
      </rPr>
      <t>就地状态</t>
    </r>
  </si>
  <si>
    <t>1-远程，0-就地</t>
  </si>
  <si>
    <r>
      <rPr>
        <sz val="11"/>
        <rFont val="TimesNewRomanPSMT"/>
        <charset val="134"/>
      </rPr>
      <t>1-</t>
    </r>
    <r>
      <rPr>
        <sz val="11"/>
        <rFont val="SimSun"/>
        <charset val="134"/>
      </rPr>
      <t>远程</t>
    </r>
    <r>
      <rPr>
        <sz val="11"/>
        <rFont val="TimesNewRomanPSMT"/>
        <charset val="134"/>
      </rPr>
      <t>;0-</t>
    </r>
    <r>
      <rPr>
        <sz val="11"/>
        <rFont val="SimSun"/>
        <charset val="134"/>
      </rPr>
      <t>就地</t>
    </r>
  </si>
  <si>
    <t>下垂状态</t>
  </si>
  <si>
    <t>电网重连接入中</t>
  </si>
  <si>
    <t>0x3001</t>
  </si>
  <si>
    <t>电网恢复延时中</t>
  </si>
  <si>
    <t>电气室风机停止</t>
  </si>
  <si>
    <t>高压状态</t>
  </si>
  <si>
    <t>1-上高压，0-下高压</t>
  </si>
  <si>
    <t>AC模块01在线状态</t>
  </si>
  <si>
    <t>紧急停机</t>
  </si>
  <si>
    <t xml:space="preserve">直流接触器状态 </t>
  </si>
  <si>
    <t>1-闭合，0-断开</t>
  </si>
  <si>
    <r>
      <rPr>
        <sz val="11"/>
        <color rgb="FF000000"/>
        <rFont val="Times New Roman"/>
        <charset val="134"/>
      </rPr>
      <t>0</t>
    </r>
    <r>
      <rPr>
        <sz val="11"/>
        <color rgb="FF000000"/>
        <rFont val="宋体"/>
        <charset val="134"/>
      </rPr>
      <t xml:space="preserve">：断开； 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宋体"/>
        <charset val="134"/>
      </rPr>
      <t>：闭合</t>
    </r>
  </si>
  <si>
    <t xml:space="preserve">绝缘检测接触器状态 </t>
  </si>
  <si>
    <t xml:space="preserve">被动式绝缘检测状态 </t>
  </si>
  <si>
    <r>
      <rPr>
        <sz val="11"/>
        <color rgb="FF000000"/>
        <rFont val="Times New Roman"/>
        <charset val="134"/>
      </rPr>
      <t>0</t>
    </r>
    <r>
      <rPr>
        <sz val="11"/>
        <color rgb="FF000000"/>
        <rFont val="宋体"/>
        <charset val="134"/>
      </rPr>
      <t>：无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宋体"/>
        <charset val="134"/>
      </rPr>
      <t>：检测中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宋体"/>
        <charset val="134"/>
      </rPr>
      <t>：检测完成</t>
    </r>
    <r>
      <rPr>
        <sz val="11"/>
        <color rgb="FF000000"/>
        <rFont val="Times New Roman"/>
        <charset val="134"/>
      </rPr>
      <t>3</t>
    </r>
    <r>
      <rPr>
        <sz val="11"/>
        <color rgb="FF000000"/>
        <rFont val="宋体"/>
        <charset val="134"/>
      </rPr>
      <t>：检测失败（使能被关闭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电池欠压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非停机状态）</t>
    </r>
  </si>
  <si>
    <t xml:space="preserve">防雷器状态 </t>
  </si>
  <si>
    <r>
      <rPr>
        <sz val="11"/>
        <color rgb="FF000000"/>
        <rFont val="Times New Roman"/>
        <charset val="134"/>
      </rPr>
      <t>0</t>
    </r>
    <r>
      <rPr>
        <sz val="11"/>
        <color rgb="FF000000"/>
        <rFont val="宋体"/>
        <charset val="134"/>
      </rPr>
      <t xml:space="preserve">：正常； 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宋体"/>
        <charset val="134"/>
      </rPr>
      <t>：故障</t>
    </r>
  </si>
  <si>
    <r>
      <rPr>
        <sz val="11"/>
        <color rgb="FF000000"/>
        <rFont val="Times New Roman"/>
        <charset val="134"/>
      </rPr>
      <t xml:space="preserve">DI1 </t>
    </r>
    <r>
      <rPr>
        <sz val="11"/>
        <color rgb="FF000000"/>
        <rFont val="宋体"/>
        <charset val="134"/>
      </rPr>
      <t xml:space="preserve">功能状态 </t>
    </r>
  </si>
  <si>
    <t>1-无（常开），0-生效</t>
  </si>
  <si>
    <r>
      <rPr>
        <sz val="11"/>
        <color rgb="FF000000"/>
        <rFont val="Times New Roman"/>
        <charset val="134"/>
      </rPr>
      <t>0</t>
    </r>
    <r>
      <rPr>
        <sz val="11"/>
        <color rgb="FF000000"/>
        <rFont val="宋体"/>
        <charset val="134"/>
      </rPr>
      <t xml:space="preserve">： 生效； 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宋体"/>
        <charset val="134"/>
      </rPr>
      <t>： 无（常开）</t>
    </r>
  </si>
  <si>
    <t>输入干节点功能状态</t>
  </si>
  <si>
    <r>
      <rPr>
        <sz val="11"/>
        <color rgb="FF000000"/>
        <rFont val="Times New Roman"/>
        <charset val="134"/>
      </rPr>
      <t xml:space="preserve">DI2 </t>
    </r>
    <r>
      <rPr>
        <sz val="11"/>
        <color rgb="FF000000"/>
        <rFont val="宋体"/>
        <charset val="134"/>
      </rPr>
      <t>功能状态</t>
    </r>
  </si>
  <si>
    <r>
      <rPr>
        <sz val="11"/>
        <color rgb="FF000000"/>
        <rFont val="Times New Roman"/>
        <charset val="134"/>
      </rPr>
      <t xml:space="preserve">DI3 </t>
    </r>
    <r>
      <rPr>
        <sz val="11"/>
        <color rgb="FF000000"/>
        <rFont val="宋体"/>
        <charset val="134"/>
      </rPr>
      <t>功能状态</t>
    </r>
  </si>
  <si>
    <r>
      <rPr>
        <sz val="11"/>
        <color rgb="FF000000"/>
        <rFont val="Times New Roman"/>
        <charset val="134"/>
      </rPr>
      <t xml:space="preserve">DI4 </t>
    </r>
    <r>
      <rPr>
        <sz val="11"/>
        <color rgb="FF000000"/>
        <rFont val="宋体"/>
        <charset val="134"/>
      </rPr>
      <t>功能状态</t>
    </r>
  </si>
  <si>
    <t>DSP E2PROM写入次数过多</t>
  </si>
  <si>
    <t>1-超80万次，0-否</t>
  </si>
  <si>
    <t>故障录波状态</t>
  </si>
  <si>
    <t>非调试模式下1-保存故障录波数据</t>
  </si>
  <si>
    <t>0x3002</t>
  </si>
  <si>
    <t>主控板上电状态</t>
  </si>
  <si>
    <t>0x3003</t>
  </si>
  <si>
    <t>1-上电</t>
  </si>
  <si>
    <t>直流上电状态</t>
  </si>
  <si>
    <t>1-上电，0-未上电</t>
  </si>
  <si>
    <t>交流上电状态</t>
  </si>
  <si>
    <t>485上位机干扰状态</t>
  </si>
  <si>
    <t>1-存在干扰，0-无干扰</t>
  </si>
  <si>
    <t>ARM状态</t>
  </si>
  <si>
    <t>ARM E2PROM写入次数过多</t>
  </si>
  <si>
    <t>BMS初始化状态</t>
  </si>
  <si>
    <t>1-初始化</t>
  </si>
  <si>
    <t>急停告警</t>
  </si>
  <si>
    <t>0x3004</t>
  </si>
  <si>
    <t>一级  满足条件复位</t>
  </si>
  <si>
    <t>d4-1</t>
  </si>
  <si>
    <t>外部急停信号闭合</t>
  </si>
  <si>
    <t>交流电流传感器故障</t>
  </si>
  <si>
    <t>一级  需检查硬件</t>
  </si>
  <si>
    <t>d4-2</t>
  </si>
  <si>
    <t>初始上电检测，读取1000次交流电流传感器的输出电压，若偏离1.65V，偏离数字量＞150，则报故障</t>
  </si>
  <si>
    <t>交流电压传感器故障</t>
  </si>
  <si>
    <t>d4-3</t>
  </si>
  <si>
    <t>直流接触器故障</t>
  </si>
  <si>
    <t>d4-4</t>
  </si>
  <si>
    <t>PCS启动之前，判断直流继电器的状态，若为闭合状态，则报故障</t>
  </si>
  <si>
    <t>交流A相继电器故障</t>
  </si>
  <si>
    <t>d4-5</t>
  </si>
  <si>
    <t>A相继电器吸合前，继电器两端电压&lt;20V,累计计数达到20次，对应20ms，则报故障</t>
  </si>
  <si>
    <t>交流B相继电器故障</t>
  </si>
  <si>
    <t>d4-6</t>
  </si>
  <si>
    <t>B相继电器吸合前，继电器两端电压&lt;20V,累计计数达到20次，对应20ms，则报故障</t>
  </si>
  <si>
    <t>交流C相继电器故障</t>
  </si>
  <si>
    <t>d4-7</t>
  </si>
  <si>
    <t>C相继电器吸合前，继电器两端电压&lt;20V,累计计数达到20次，对应20ms，则报故障</t>
  </si>
  <si>
    <t>直流过压</t>
  </si>
  <si>
    <t xml:space="preserve">一级  </t>
  </si>
  <si>
    <t>d4-8</t>
  </si>
  <si>
    <t>直流欠压</t>
  </si>
  <si>
    <t>d4-9</t>
  </si>
  <si>
    <t>直流电池端电压反接</t>
  </si>
  <si>
    <t>d4-10</t>
  </si>
  <si>
    <t>电池端电压采样值&lt;-200V，则报故障</t>
  </si>
  <si>
    <t>直流电流传感器故障</t>
  </si>
  <si>
    <t>d4-11</t>
  </si>
  <si>
    <t>直流端绝缘电阻故障</t>
  </si>
  <si>
    <t>d4-12</t>
  </si>
  <si>
    <t>PCS启动前，检测一次；绝缘电阻检测结果低于设定值（可通过上位机设置），或则是无穷大值，则报故障，故障上报后不可启动</t>
  </si>
  <si>
    <t>交流线序故障</t>
  </si>
  <si>
    <t>d4-13</t>
  </si>
  <si>
    <t>PCS启动前，检测一次线序，根据锁相环输出，若为-50Hz，则报交流端线序接反告警</t>
  </si>
  <si>
    <t>交流过压</t>
  </si>
  <si>
    <t>二级  满足条件可恢复</t>
  </si>
  <si>
    <t>d4-14</t>
  </si>
  <si>
    <t>疑似存在故障</t>
  </si>
  <si>
    <t>软件过流故障</t>
  </si>
  <si>
    <t>d4-15</t>
  </si>
  <si>
    <t>硬件过流故障</t>
  </si>
  <si>
    <t>一级  ARM端复位</t>
  </si>
  <si>
    <t>d4-16</t>
  </si>
  <si>
    <t>直流总电流及8个分支电流采样，触发Tz信号，则上报该故障</t>
  </si>
  <si>
    <t>低压穿越故障</t>
  </si>
  <si>
    <t>0x3005</t>
  </si>
  <si>
    <t>d5-1</t>
  </si>
  <si>
    <t>开启电压穿越使能后，交流电压较低的状态，超过国标要求的电压轮廓线</t>
  </si>
  <si>
    <t>高压穿越故障</t>
  </si>
  <si>
    <t>d5-2</t>
  </si>
  <si>
    <t>开启电压穿越使能后，交流电压较高的状态，超过国标要求的电压轮廓线</t>
  </si>
  <si>
    <t>孤岛故障</t>
  </si>
  <si>
    <t>d5-3</t>
  </si>
  <si>
    <t>开启孤岛使能后，主动孤岛检测下，电网频率超过46.5~52.5Hz的区间，且维持50ms，报该故障</t>
  </si>
  <si>
    <t>防雷故障</t>
  </si>
  <si>
    <t>d5-4</t>
  </si>
  <si>
    <t>PCS启机后，检测到防雷IO口电平拉低，读取过程中有10ms的去抖</t>
  </si>
  <si>
    <t>漏电流传感器故障</t>
  </si>
  <si>
    <t>d5-5</t>
  </si>
  <si>
    <t>初始上电检测，读取1000次漏电流传感器的输出电压，若偏离1.65V，偏离数字量＞150，报故障</t>
  </si>
  <si>
    <t>漏电流故障</t>
  </si>
  <si>
    <t>d5-6</t>
  </si>
  <si>
    <t>PCS启机后，漏电流值＞35mA，持续时间大于200ms，报该故障</t>
  </si>
  <si>
    <t>电网频率故障</t>
  </si>
  <si>
    <t>d5-7</t>
  </si>
  <si>
    <t>锁相环输出的频率46.5~52.5Hz的区间，持续时间＞50ms，报该故障</t>
  </si>
  <si>
    <t>交流侧欠压故障</t>
  </si>
  <si>
    <t>d5-8</t>
  </si>
  <si>
    <t>未开启电压穿越时,电网电压低于0.85倍额定电压，持续时间＞200ms，报该故障</t>
  </si>
  <si>
    <t>交流侧过压故障</t>
  </si>
  <si>
    <t>d5-9</t>
  </si>
  <si>
    <t>未开启电压穿越时，电网电压高于1.15倍额定电压，持续时间＞200ms，报该故障</t>
  </si>
  <si>
    <t>环境温度过温故障</t>
  </si>
  <si>
    <t>一级  满足条件可恢复</t>
  </si>
  <si>
    <t>d5-10</t>
  </si>
  <si>
    <t>主控芯片表面的温度采样值&gt;95℃，持续时间＞100ms，报该故障</t>
  </si>
  <si>
    <t>A相模组过温故障</t>
  </si>
  <si>
    <t>d5-11</t>
  </si>
  <si>
    <t>功率模组A温度&gt;115℃，持续时间＞100ms，报该故障</t>
  </si>
  <si>
    <t>B相模组过温故障</t>
  </si>
  <si>
    <t>d5-12</t>
  </si>
  <si>
    <t>功率模组B温度&gt;115℃，持续时间＞100ms，报该故障</t>
  </si>
  <si>
    <t>C相模组过温故障</t>
  </si>
  <si>
    <t>d5-13</t>
  </si>
  <si>
    <t>功率模组C温度&gt;115℃，持续时间＞100ms，报该故障</t>
  </si>
  <si>
    <t>d5-14</t>
  </si>
  <si>
    <t>过温降容告警</t>
  </si>
  <si>
    <t>三级  不停机</t>
  </si>
  <si>
    <t>d5-15</t>
  </si>
  <si>
    <t>超过设定环境温度与功率模组温度后，开始降额输出，并发出该告警信号，但系统不停机</t>
  </si>
  <si>
    <t>d5-16</t>
  </si>
  <si>
    <t>非并网状态交流有电压</t>
  </si>
  <si>
    <t>0x3006</t>
  </si>
  <si>
    <t>d6-1</t>
  </si>
  <si>
    <t>不是并网状态，交流侧有电压</t>
  </si>
  <si>
    <t>d6-2</t>
  </si>
  <si>
    <t>d6-3</t>
  </si>
  <si>
    <t>d6-4</t>
  </si>
  <si>
    <t>直流软件过流故障</t>
  </si>
  <si>
    <t>d6-5</t>
  </si>
  <si>
    <t>直流电流&gt;300A(145kW&amp;125kW)，350A（150kW），持续时间&gt;100ms，上报该故障</t>
  </si>
  <si>
    <t>交流软件过流故障</t>
  </si>
  <si>
    <t>d6-6</t>
  </si>
  <si>
    <t>交流电流&gt;400A，持续时间&gt;100ms，上报该故障</t>
  </si>
  <si>
    <t>d6-7</t>
  </si>
  <si>
    <t>d6-8</t>
  </si>
  <si>
    <t>d6-9</t>
  </si>
  <si>
    <t>锁相频率异常故障</t>
  </si>
  <si>
    <t>d6-10</t>
  </si>
  <si>
    <t>故障未启用</t>
  </si>
  <si>
    <t>d6-11</t>
  </si>
  <si>
    <t>d6-12</t>
  </si>
  <si>
    <t>d6-13</t>
  </si>
  <si>
    <t>d6-14</t>
  </si>
  <si>
    <t>d6-15</t>
  </si>
  <si>
    <t>d6-16</t>
  </si>
  <si>
    <t>0x3007</t>
  </si>
  <si>
    <t>d7-1</t>
  </si>
  <si>
    <t>d7-2</t>
  </si>
  <si>
    <t>d7-3</t>
  </si>
  <si>
    <t>电网交流过频</t>
  </si>
  <si>
    <t>d7-4</t>
  </si>
  <si>
    <t>电网交流欠频</t>
  </si>
  <si>
    <t>d7-5</t>
  </si>
  <si>
    <t>A相电网缺相</t>
  </si>
  <si>
    <t>d7-6</t>
  </si>
  <si>
    <t>在至少一相有电，该相没电时认为缺相</t>
  </si>
  <si>
    <t>B相电网缺相</t>
  </si>
  <si>
    <t>d7-7</t>
  </si>
  <si>
    <t>C相电网缺相</t>
  </si>
  <si>
    <t>d7-8</t>
  </si>
  <si>
    <r>
      <rPr>
        <sz val="11"/>
        <color rgb="FF000000"/>
        <rFont val="Times New Roman"/>
        <charset val="134"/>
      </rPr>
      <t xml:space="preserve">RTC </t>
    </r>
    <r>
      <rPr>
        <sz val="11"/>
        <color rgb="FF000000"/>
        <rFont val="宋体"/>
        <charset val="134"/>
      </rPr>
      <t>故障</t>
    </r>
  </si>
  <si>
    <t>一级  需复位</t>
  </si>
  <si>
    <t>d7-9</t>
  </si>
  <si>
    <t>待定</t>
  </si>
  <si>
    <t>驱动板过流故障</t>
  </si>
  <si>
    <t>d7-10</t>
  </si>
  <si>
    <t>驱动板上报FAULT，去抖窗口10ms，报该故障</t>
  </si>
  <si>
    <t>功率过温故障</t>
  </si>
  <si>
    <t>d7-11</t>
  </si>
  <si>
    <t>功率模组ABC，有一个报过温故障，则上报该故障</t>
  </si>
  <si>
    <t>d7-12</t>
  </si>
  <si>
    <t>直流母线硬件过压</t>
  </si>
  <si>
    <t>d7-13</t>
  </si>
  <si>
    <t>直流母线的硬件电压采样超过1080V（125kW/145kW），1280V（150kW）， 触发硬件Tz信号</t>
  </si>
  <si>
    <t>直流母线CMPS过压</t>
  </si>
  <si>
    <t>d7-14</t>
  </si>
  <si>
    <t>直流母线电压采样值超过1050V（125kW/145kW），1250V（150kW），触发该故障</t>
  </si>
  <si>
    <t>电池电压软件过压</t>
  </si>
  <si>
    <t>d7-15</t>
  </si>
  <si>
    <t>电池端电压＞1050V（125kW/145kW），1250V（150kW），持续时间超过2ms，触发该故障</t>
  </si>
  <si>
    <t>电池电压软件欠压</t>
  </si>
  <si>
    <t>d7-16</t>
  </si>
  <si>
    <t>电池端电压&lt; 580V，持续时间超过2ms，触发该故障</t>
  </si>
  <si>
    <t>直流预充失败</t>
  </si>
  <si>
    <t>0x3008</t>
  </si>
  <si>
    <t>d8-1</t>
  </si>
  <si>
    <t>直流母线电压未在15s内达到设定电压值（电池当前电压 - 20V），触发该故障</t>
  </si>
  <si>
    <t>交流继电器吸合故障</t>
  </si>
  <si>
    <t>d8-2</t>
  </si>
  <si>
    <t>d8-3</t>
  </si>
  <si>
    <t>离网过载1.2倍故障</t>
  </si>
  <si>
    <t>d8-4</t>
  </si>
  <si>
    <t>CAN0通信状态</t>
  </si>
  <si>
    <t>d8-5</t>
  </si>
  <si>
    <t>STS与PCS通信断联，持续30s，触发该故障</t>
  </si>
  <si>
    <t>CAN1通信状态</t>
  </si>
  <si>
    <t>d8-6</t>
  </si>
  <si>
    <t>预充继电器故障</t>
  </si>
  <si>
    <t>d8-7</t>
  </si>
  <si>
    <t>直流端绝缘电阻告警</t>
  </si>
  <si>
    <t>d8-8</t>
  </si>
  <si>
    <t>参数长度不一致故障</t>
  </si>
  <si>
    <t>一级  检查程序版本</t>
  </si>
  <si>
    <t>d8-9</t>
  </si>
  <si>
    <t>PCS启动前，检测一次CPU1参数长度与CU2参数长度是否一致，不一致故障。故障上报后，请勿其他操作，下载对应的CPU1 CPU2程序再次启动。</t>
  </si>
  <si>
    <t>驱动板电源故障(吉星：并网失败)</t>
  </si>
  <si>
    <t>d8-10</t>
  </si>
  <si>
    <t>驱动板上报RDYC拉低，去抖窗口10ms，报该故障</t>
  </si>
  <si>
    <t>PCS内部通讯ARM异常</t>
  </si>
  <si>
    <t>一级  DSP2主动停机</t>
  </si>
  <si>
    <t>d8-11</t>
  </si>
  <si>
    <t>DSP超过5秒未收到ARM有效指令，告警并停机</t>
  </si>
  <si>
    <t>电网频率变化率超限</t>
  </si>
  <si>
    <t>d8-12</t>
  </si>
  <si>
    <t>电网频率变化率超过限制值</t>
  </si>
  <si>
    <t>d8-13</t>
  </si>
  <si>
    <t>d8-14</t>
  </si>
  <si>
    <t>d8-15</t>
  </si>
  <si>
    <t>d8-16</t>
  </si>
  <si>
    <t>0x3009</t>
  </si>
  <si>
    <t>d9-1~d9-16</t>
  </si>
  <si>
    <t>0x300A</t>
  </si>
  <si>
    <t>da-1~da-16</t>
  </si>
  <si>
    <t>交流软启动失败</t>
  </si>
  <si>
    <t>0x300B</t>
  </si>
  <si>
    <t>db-1</t>
  </si>
  <si>
    <t>PCS并网模式下，交流发波完成后，未在8s内完成交流继电器吸合</t>
  </si>
  <si>
    <t>db-2</t>
  </si>
  <si>
    <t>db-3</t>
  </si>
  <si>
    <t>db-4</t>
  </si>
  <si>
    <t>db-5</t>
  </si>
  <si>
    <t>db-6</t>
  </si>
  <si>
    <t>db-7</t>
  </si>
  <si>
    <t>db-8</t>
  </si>
  <si>
    <t>db-9</t>
  </si>
  <si>
    <t>db-10</t>
  </si>
  <si>
    <t>db-11</t>
  </si>
  <si>
    <t>db-12</t>
  </si>
  <si>
    <t>db-13</t>
  </si>
  <si>
    <t>db-14</t>
  </si>
  <si>
    <t>离网交流欠压</t>
  </si>
  <si>
    <t>db-15</t>
  </si>
  <si>
    <t>离网模式下，PCS输出电压＜0.85额定电压，持续80ms，触发该故障</t>
  </si>
  <si>
    <t>db-16</t>
  </si>
  <si>
    <t>0x300C</t>
  </si>
  <si>
    <t>dc-1~dc-16</t>
  </si>
  <si>
    <t>0x300D</t>
  </si>
  <si>
    <t>dd-1~dd-16</t>
  </si>
  <si>
    <t>PCS内部通讯DSP异常</t>
  </si>
  <si>
    <t>0x300E</t>
  </si>
  <si>
    <t>de-1</t>
  </si>
  <si>
    <t>DSP未响应ARM，持续时间超过10s，触发该故障</t>
  </si>
  <si>
    <t>E2ROM异常</t>
  </si>
  <si>
    <t>一级  需检查代码</t>
  </si>
  <si>
    <t>de-2</t>
  </si>
  <si>
    <t>上电后获取E2PROM存储的通讯参数表，若2次均读取失败（CRC校验失败），则重新写入默认的参数；若写入失败（E2PROM芯片未响应）则上报该故障</t>
  </si>
  <si>
    <t>Flash异常</t>
  </si>
  <si>
    <t>de-3</t>
  </si>
  <si>
    <t>上电后读取日志文件及累加文件信息；若读取失败，则对文件系统进行格式化，并重新创建文件；若创建失败，则上报故障</t>
  </si>
  <si>
    <t>EMS1 通讯故障</t>
  </si>
  <si>
    <t>一级  检查设备</t>
  </si>
  <si>
    <t>de-4</t>
  </si>
  <si>
    <t>当 EMS 通讯控制位开启且已建立正常通讯后，若 EMS 在设定的超时时间（默认30秒）内未主动发送任何消息，则上报当前故障</t>
  </si>
  <si>
    <t>EMS2 通讯故障</t>
  </si>
  <si>
    <t>de-5</t>
  </si>
  <si>
    <t>频繁启动故障</t>
  </si>
  <si>
    <t>de-6</t>
  </si>
  <si>
    <t>故障需使能；PCS 3次启动间隔（每次小于30秒）过短，拦截第四次启动，并上报“频繁启动故障”，同时开启5分钟保护（该时间内的启动指令不生效）。</t>
  </si>
  <si>
    <t>RTC外置时钟故障</t>
  </si>
  <si>
    <t>de-7</t>
  </si>
  <si>
    <t>上电后软件首先选择时钟信号为外置时钟，此时初始化时钟，若失败则上报故障</t>
  </si>
  <si>
    <t>RTC内置时钟故障</t>
  </si>
  <si>
    <t>de-8</t>
  </si>
  <si>
    <t>上电后外置时钟初始化失败，则启用内置时钟初始化，若内置时钟初始化失败则上报该故障</t>
  </si>
  <si>
    <t>模块数量异常</t>
  </si>
  <si>
    <t>de-9</t>
  </si>
  <si>
    <t>物联网通讯故障</t>
  </si>
  <si>
    <t>de-10</t>
  </si>
  <si>
    <t>该故障未添加！</t>
  </si>
  <si>
    <t>并机通讯故障</t>
  </si>
  <si>
    <t>de-11</t>
  </si>
  <si>
    <t>风冷设备风扇故障</t>
  </si>
  <si>
    <t>de-12</t>
  </si>
  <si>
    <t>de-13</t>
  </si>
  <si>
    <t>de-14</t>
  </si>
  <si>
    <t>de-15</t>
  </si>
  <si>
    <t>de-16</t>
  </si>
  <si>
    <r>
      <rPr>
        <sz val="10"/>
        <color rgb="FF000000"/>
        <rFont val="Times New Roman"/>
        <charset val="134"/>
      </rPr>
      <t xml:space="preserve">BMS </t>
    </r>
    <r>
      <rPr>
        <sz val="10"/>
        <color rgb="FF000000"/>
        <rFont val="宋体"/>
        <charset val="134"/>
      </rPr>
      <t xml:space="preserve">无通讯 </t>
    </r>
  </si>
  <si>
    <t>0x300F</t>
  </si>
  <si>
    <t>df-1</t>
  </si>
  <si>
    <t>若干接点状态不符合协议指定的常开/常闭逻辑，或BMS连续30秒（可配置）未向 PCS 发送数据，则上报故障</t>
  </si>
  <si>
    <r>
      <rPr>
        <sz val="10"/>
        <color rgb="FF000000"/>
        <rFont val="Times New Roman"/>
        <charset val="134"/>
      </rPr>
      <t xml:space="preserve">BMS </t>
    </r>
    <r>
      <rPr>
        <sz val="10"/>
        <color rgb="FF000000"/>
        <rFont val="宋体"/>
        <charset val="134"/>
      </rPr>
      <t xml:space="preserve">故障 </t>
    </r>
  </si>
  <si>
    <t>df-2</t>
  </si>
  <si>
    <t>BMS发生故障，上传至PCS，PCS上报故障（具体故障是否上报，是否处理根据响应的BMS协议要求）</t>
  </si>
  <si>
    <r>
      <rPr>
        <sz val="11"/>
        <color theme="1"/>
        <rFont val="宋体"/>
        <charset val="134"/>
      </rPr>
      <t xml:space="preserve">SOC </t>
    </r>
    <r>
      <rPr>
        <sz val="10"/>
        <color rgb="FF000000"/>
        <rFont val="宋体"/>
        <charset val="134"/>
      </rPr>
      <t xml:space="preserve">超上限 </t>
    </r>
  </si>
  <si>
    <t>df-3</t>
  </si>
  <si>
    <t>BMS SOC超上限告警，上传至PCS，PCS上报故障（具体故障是否上报，是否处理根据响应的BMS协议要求）</t>
  </si>
  <si>
    <r>
      <rPr>
        <sz val="11"/>
        <color theme="1"/>
        <rFont val="宋体"/>
        <charset val="134"/>
      </rPr>
      <t xml:space="preserve">SOC </t>
    </r>
    <r>
      <rPr>
        <sz val="10"/>
        <color rgb="FF000000"/>
        <rFont val="宋体"/>
        <charset val="134"/>
      </rPr>
      <t xml:space="preserve">超下限 </t>
    </r>
  </si>
  <si>
    <t>df-4</t>
  </si>
  <si>
    <t>BMS SOC 超下限告警，上传至PCS，PCS上报故障（具体故障是否上报，是否处理根据响应的BMS协议要求）</t>
  </si>
  <si>
    <r>
      <rPr>
        <sz val="10"/>
        <color rgb="FF000000"/>
        <rFont val="Times New Roman"/>
        <charset val="134"/>
      </rPr>
      <t xml:space="preserve">BMS </t>
    </r>
    <r>
      <rPr>
        <sz val="10"/>
        <color rgb="FF000000"/>
        <rFont val="宋体"/>
        <charset val="134"/>
      </rPr>
      <t xml:space="preserve">禁充 </t>
    </r>
  </si>
  <si>
    <t>df-5</t>
  </si>
  <si>
    <t>BMS 禁充告警，上传至PCS，PCS上报故障（具体故障是否上报，是否处理根据响应的BMS协议要求）</t>
  </si>
  <si>
    <r>
      <rPr>
        <sz val="11"/>
        <color theme="1"/>
        <rFont val="宋体"/>
        <charset val="134"/>
      </rPr>
      <t xml:space="preserve">BMS </t>
    </r>
    <r>
      <rPr>
        <sz val="10"/>
        <color rgb="FF000000"/>
        <rFont val="宋体"/>
        <charset val="134"/>
      </rPr>
      <t xml:space="preserve">禁放 </t>
    </r>
  </si>
  <si>
    <t>df-6</t>
  </si>
  <si>
    <t>BMS 禁放 告警，上传至PCS，PCS上报故障（具体故障是否上报，是否处理根据响应的BMS协议要求）</t>
  </si>
  <si>
    <r>
      <rPr>
        <sz val="10"/>
        <color rgb="FF000000"/>
        <rFont val="Times New Roman"/>
        <charset val="134"/>
      </rPr>
      <t xml:space="preserve">BMS </t>
    </r>
    <r>
      <rPr>
        <sz val="10"/>
        <color rgb="FF000000"/>
        <rFont val="宋体"/>
        <charset val="134"/>
      </rPr>
      <t xml:space="preserve">报警 </t>
    </r>
  </si>
  <si>
    <t>df-7</t>
  </si>
  <si>
    <t>BMS 告警，上传至PCS，PCS上报故障（具体故障是否上报，是否处理根据响应的BMS协议要求）</t>
  </si>
  <si>
    <r>
      <rPr>
        <sz val="10"/>
        <color rgb="FF000000"/>
        <rFont val="Times New Roman"/>
        <charset val="134"/>
      </rPr>
      <t xml:space="preserve">BMS </t>
    </r>
    <r>
      <rPr>
        <sz val="10"/>
        <color rgb="FF000000"/>
        <rFont val="宋体"/>
        <charset val="134"/>
      </rPr>
      <t xml:space="preserve">禁充放 </t>
    </r>
  </si>
  <si>
    <t>df-8</t>
  </si>
  <si>
    <t>BMS 禁充放，上传至PC，PCS上报故障（具体故障是否上报，是否处理根据响应的BMS协议要求）</t>
  </si>
  <si>
    <t>df-9</t>
  </si>
  <si>
    <t>df-10</t>
  </si>
  <si>
    <t>df-11</t>
  </si>
  <si>
    <t>df-12</t>
  </si>
  <si>
    <t>df-13</t>
  </si>
  <si>
    <t>df-14</t>
  </si>
  <si>
    <t>df-15</t>
  </si>
  <si>
    <t>df-16</t>
  </si>
  <si>
    <t>0x3010</t>
  </si>
  <si>
    <t>d10-1~d10-16</t>
  </si>
  <si>
    <t>控制命令来源</t>
  </si>
  <si>
    <t>3-EMS控制（modbus ）485RTU
2-网口上位机
1-485 上位机
0-EMS控制
editor</t>
  </si>
  <si>
    <t>程序更新状态</t>
  </si>
  <si>
    <t>0~7</t>
  </si>
  <si>
    <t>bit0-ARM存在新版本
bit1-CPU1存在新版本
bit2-CPU2存在新版本</t>
  </si>
  <si>
    <t>远程升级控制</t>
  </si>
  <si>
    <t>Byte:1 
0:不升级
1:ARM远程升级
2:CPU1远程升级
3:CPU2远程升级
Byte:2
1:升级失败（升级需清除该位）</t>
  </si>
  <si>
    <t>4G通信状态</t>
  </si>
  <si>
    <t>0-9:初始状态
10-19：自检状态
20-29：连接状态
50-70：发布状态</t>
  </si>
  <si>
    <t>4G信号强度</t>
  </si>
  <si>
    <t>0~99</t>
  </si>
  <si>
    <t>信号强度</t>
  </si>
  <si>
    <t>故障自动复位开关</t>
  </si>
  <si>
    <t>0:关闭
1:开启</t>
  </si>
  <si>
    <t>远程TCP通信超时设置</t>
  </si>
  <si>
    <t>0.1s</t>
  </si>
  <si>
    <t xml:space="preserve">预留 </t>
  </si>
  <si>
    <t>485上位机速率</t>
  </si>
  <si>
    <t>0~11</t>
  </si>
  <si>
    <t>0-2400
1-4800
2-9600
3-19200
4-38400
5-57600
6-115200
7-256000
8-460800
9-1000000
10-1500000
11-2000000</t>
  </si>
  <si>
    <t>网口地址1</t>
  </si>
  <si>
    <t>网口地址2</t>
  </si>
  <si>
    <t>网口地址3</t>
  </si>
  <si>
    <t>网口地址4</t>
  </si>
  <si>
    <t>IP 地址1</t>
  </si>
  <si>
    <t>editor</t>
  </si>
  <si>
    <t>IP 地址2</t>
  </si>
  <si>
    <t>IP 地址3</t>
  </si>
  <si>
    <t>IP 地址4</t>
  </si>
  <si>
    <t xml:space="preserve">EMS 通讯协议 </t>
  </si>
  <si>
    <t xml:space="preserve">R/W </t>
  </si>
  <si>
    <t>0-恩特
1-汇川</t>
  </si>
  <si>
    <t xml:space="preserve">BMS 通讯控制位 </t>
  </si>
  <si>
    <t>0-不启用
1-启用</t>
  </si>
  <si>
    <t>ARM重启</t>
  </si>
  <si>
    <t>1-重启</t>
  </si>
  <si>
    <t>Bms协议类型</t>
  </si>
  <si>
    <t>0-标准
1-协能
2-沃太
3-高特
4-瑞能
5-中汽新能
6-弘正
7-科工
8-苏州蜂聚
(重启生效)</t>
  </si>
  <si>
    <t xml:space="preserve">CAN 通信速率 </t>
  </si>
  <si>
    <t>0-250K
1-50K
2-500K
(重启生效)</t>
  </si>
  <si>
    <t>时间设置：年</t>
  </si>
  <si>
    <t>2000~2199</t>
  </si>
  <si>
    <t>时间设置：月</t>
  </si>
  <si>
    <t>1~12</t>
  </si>
  <si>
    <t>时间设置：日</t>
  </si>
  <si>
    <t>1~31</t>
  </si>
  <si>
    <t>时间设置：时</t>
  </si>
  <si>
    <t>0~23</t>
  </si>
  <si>
    <t>时间设置：分</t>
  </si>
  <si>
    <t>0~59</t>
  </si>
  <si>
    <t>时间设置：秒</t>
  </si>
  <si>
    <t>BMS通信超时设置</t>
  </si>
  <si>
    <t>0、0xFFFF不启用超时判断</t>
  </si>
  <si>
    <r>
      <rPr>
        <sz val="11"/>
        <color rgb="FF000000"/>
        <rFont val="Times New Roman"/>
        <charset val="134"/>
      </rPr>
      <t xml:space="preserve">PCS CAN </t>
    </r>
    <r>
      <rPr>
        <sz val="11"/>
        <color rgb="FF000000"/>
        <rFont val="宋体"/>
        <charset val="134"/>
      </rPr>
      <t>地址</t>
    </r>
  </si>
  <si>
    <t>实际地址依照BMS厂商协议适配;0-厂商默认地址(重启生效)</t>
  </si>
  <si>
    <r>
      <rPr>
        <sz val="11"/>
        <color rgb="FF000000"/>
        <rFont val="Times New Roman"/>
        <charset val="134"/>
      </rPr>
      <t xml:space="preserve">BMS CAN </t>
    </r>
    <r>
      <rPr>
        <sz val="11"/>
        <color rgb="FF000000"/>
        <rFont val="宋体"/>
        <charset val="134"/>
      </rPr>
      <t>地址</t>
    </r>
  </si>
  <si>
    <t>BMS厂商充放电指令</t>
  </si>
  <si>
    <t>依照BMS协议规定(例如：CIAPS协议:请求充电0x5555);参数不
保存</t>
  </si>
  <si>
    <t xml:space="preserve">Modbus 本机地址 </t>
  </si>
  <si>
    <t>Modbus RTU 速率</t>
  </si>
  <si>
    <t>0~6</t>
  </si>
  <si>
    <t>0-2400
1-4800
2-9600
3-19200
4-38400
5-57600
6-115200</t>
  </si>
  <si>
    <t>远程升级ID</t>
  </si>
  <si>
    <t>0：不启用远程升级
1：标品
2：津荣天宇
3：天津平高
5：深圳瑞能
6：弘正
7：高特
8：中汽新能
9：科工
10：东软
11：苏州蜂聚
12：南京国信
13: 沃太能源
14：天通优能
15：杭州煦达</t>
  </si>
  <si>
    <r>
      <rPr>
        <sz val="11"/>
        <color rgb="FF000000"/>
        <rFont val="宋体"/>
        <charset val="134"/>
      </rPr>
      <t>电池组运行状态</t>
    </r>
    <r>
      <rPr>
        <sz val="11"/>
        <color rgb="FF000000"/>
        <rFont val="Times New Roman"/>
        <charset val="134"/>
      </rPr>
      <t xml:space="preserve"> </t>
    </r>
  </si>
  <si>
    <t>根据厂商状态定义</t>
  </si>
  <si>
    <r>
      <rPr>
        <sz val="11"/>
        <color rgb="FF000000"/>
        <rFont val="Times New Roman"/>
        <charset val="134"/>
      </rPr>
      <t>BMS</t>
    </r>
    <r>
      <rPr>
        <sz val="11"/>
        <color rgb="FF000000"/>
        <rFont val="宋体"/>
        <charset val="134"/>
      </rPr>
      <t xml:space="preserve">状态字 </t>
    </r>
  </si>
  <si>
    <t>SOP</t>
  </si>
  <si>
    <t xml:space="preserve">电池组电压上限 </t>
  </si>
  <si>
    <t>电池组过压阈值</t>
  </si>
  <si>
    <t xml:space="preserve">电池组电压下限 </t>
  </si>
  <si>
    <t>0. 1V</t>
  </si>
  <si>
    <t>电池组欠压阈值</t>
  </si>
  <si>
    <r>
      <rPr>
        <sz val="11"/>
        <color rgb="FF000000"/>
        <rFont val="宋体"/>
        <charset val="134"/>
      </rPr>
      <t>电池组</t>
    </r>
    <r>
      <rPr>
        <sz val="11"/>
        <color rgb="FF000000"/>
        <rFont val="Times New Roman"/>
        <charset val="134"/>
      </rPr>
      <t xml:space="preserve">SOC </t>
    </r>
  </si>
  <si>
    <t>-</t>
  </si>
  <si>
    <r>
      <rPr>
        <sz val="11"/>
        <color rgb="FF000000"/>
        <rFont val="宋体"/>
        <charset val="134"/>
      </rPr>
      <t>电池组</t>
    </r>
    <r>
      <rPr>
        <sz val="11"/>
        <color rgb="FF000000"/>
        <rFont val="Times New Roman"/>
        <charset val="134"/>
      </rPr>
      <t xml:space="preserve">SOH </t>
    </r>
  </si>
  <si>
    <t xml:space="preserve">电池组总电压 </t>
  </si>
  <si>
    <t xml:space="preserve">电池组总电流 </t>
  </si>
  <si>
    <t>电流充电为负,放电为正</t>
  </si>
  <si>
    <t xml:space="preserve">电池组可充电量 </t>
  </si>
  <si>
    <t xml:space="preserve">电池组可放电量 </t>
  </si>
  <si>
    <t xml:space="preserve">电池组最大充电电流 </t>
  </si>
  <si>
    <t xml:space="preserve">电池组最大放电电流 </t>
  </si>
  <si>
    <t xml:space="preserve">电池组最大充电功率 </t>
  </si>
  <si>
    <t xml:space="preserve">电池组最大放电功率 </t>
  </si>
  <si>
    <r>
      <rPr>
        <sz val="11"/>
        <color rgb="FF000000"/>
        <rFont val="宋体"/>
        <charset val="134"/>
      </rPr>
      <t>单体最高</t>
    </r>
    <r>
      <rPr>
        <sz val="11"/>
        <color rgb="FF000000"/>
        <rFont val="Times New Roman"/>
        <charset val="134"/>
      </rPr>
      <t xml:space="preserve">SOC </t>
    </r>
  </si>
  <si>
    <r>
      <rPr>
        <sz val="11"/>
        <color rgb="FF000000"/>
        <rFont val="宋体"/>
        <charset val="134"/>
      </rPr>
      <t>单体最低</t>
    </r>
    <r>
      <rPr>
        <sz val="11"/>
        <color rgb="FF000000"/>
        <rFont val="Times New Roman"/>
        <charset val="134"/>
      </rPr>
      <t xml:space="preserve">SOC </t>
    </r>
  </si>
  <si>
    <t xml:space="preserve">单体最高温度 </t>
  </si>
  <si>
    <t>-100~3276.7</t>
  </si>
  <si>
    <t>0.1℃</t>
  </si>
  <si>
    <t xml:space="preserve">单体最低温度 </t>
  </si>
  <si>
    <t xml:space="preserve">单体最高电压 </t>
  </si>
  <si>
    <t>0~65.535</t>
  </si>
  <si>
    <t>0.001V</t>
  </si>
  <si>
    <t xml:space="preserve">单体最低电压 </t>
  </si>
  <si>
    <t xml:space="preserve">电池组日充电量 </t>
  </si>
  <si>
    <t xml:space="preserve">电池组日放电量 </t>
  </si>
  <si>
    <r>
      <rPr>
        <sz val="11"/>
        <color rgb="FF000000"/>
        <rFont val="宋体"/>
        <charset val="134"/>
      </rPr>
      <t>电池组累计充电量</t>
    </r>
    <r>
      <rPr>
        <sz val="11"/>
        <color rgb="FF000000"/>
        <rFont val="Times New Roman"/>
        <charset val="134"/>
      </rPr>
      <t xml:space="preserve">Low </t>
    </r>
  </si>
  <si>
    <t>1kWh</t>
  </si>
  <si>
    <t>分别为累计充电量的高低位，应在合并处理后显示</t>
  </si>
  <si>
    <r>
      <rPr>
        <sz val="11"/>
        <color rgb="FF000000"/>
        <rFont val="宋体"/>
        <charset val="134"/>
      </rPr>
      <t>电池组累计充电量</t>
    </r>
    <r>
      <rPr>
        <sz val="11"/>
        <color rgb="FF000000"/>
        <rFont val="Times New Roman"/>
        <charset val="134"/>
      </rPr>
      <t xml:space="preserve">High </t>
    </r>
  </si>
  <si>
    <r>
      <rPr>
        <sz val="11"/>
        <color rgb="FF000000"/>
        <rFont val="宋体"/>
        <charset val="134"/>
      </rPr>
      <t>电池组累计放电量</t>
    </r>
    <r>
      <rPr>
        <sz val="11"/>
        <color rgb="FF000000"/>
        <rFont val="Times New Roman"/>
        <charset val="134"/>
      </rPr>
      <t xml:space="preserve">Low </t>
    </r>
  </si>
  <si>
    <t>分别为累计放电量的高低位，应在合并处理后显示</t>
  </si>
  <si>
    <r>
      <rPr>
        <sz val="11"/>
        <color rgb="FF000000"/>
        <rFont val="宋体"/>
        <charset val="134"/>
      </rPr>
      <t>电池组累计放电量</t>
    </r>
    <r>
      <rPr>
        <sz val="11"/>
        <color rgb="FF000000"/>
        <rFont val="Times New Roman"/>
        <charset val="134"/>
      </rPr>
      <t xml:space="preserve">High </t>
    </r>
  </si>
  <si>
    <r>
      <rPr>
        <sz val="11"/>
        <rFont val="Times New Roman"/>
        <charset val="134"/>
      </rPr>
      <t>PCS</t>
    </r>
    <r>
      <rPr>
        <sz val="11"/>
        <rFont val="宋体"/>
        <charset val="134"/>
      </rPr>
      <t>控制</t>
    </r>
    <r>
      <rPr>
        <sz val="11"/>
        <rFont val="Times New Roman"/>
        <charset val="134"/>
      </rPr>
      <t>BMS</t>
    </r>
    <r>
      <rPr>
        <sz val="11"/>
        <rFont val="宋体"/>
        <charset val="134"/>
      </rPr>
      <t xml:space="preserve">继电器命令 </t>
    </r>
  </si>
  <si>
    <t xml:space="preserve">电池参数保护状态 </t>
  </si>
  <si>
    <t>交直流上电状态</t>
  </si>
  <si>
    <t>0-未上电
1-交流上电（2S）
2-直流上电（1S）
3-交直流上电(常亮)</t>
  </si>
  <si>
    <t>环境温度（ARM）</t>
  </si>
  <si>
    <t>A相功率器件温度（ARM）</t>
  </si>
  <si>
    <t>B相功率器件温度（ARM）</t>
  </si>
  <si>
    <t>C相功率器件温度（ARM）</t>
  </si>
  <si>
    <t>N相功率器件温度（ARM）</t>
  </si>
  <si>
    <t>电感温度（ARM）</t>
  </si>
  <si>
    <r>
      <rPr>
        <sz val="11"/>
        <color rgb="FF000000"/>
        <rFont val="Times New Roman"/>
        <charset val="134"/>
      </rPr>
      <t>q</t>
    </r>
    <r>
      <rPr>
        <sz val="11"/>
        <color rgb="FF000000"/>
        <rFont val="宋体"/>
        <charset val="134"/>
      </rPr>
      <t>轴电流</t>
    </r>
    <r>
      <rPr>
        <sz val="11"/>
        <color rgb="FF000000"/>
        <rFont val="Times New Roman"/>
        <charset val="134"/>
      </rPr>
      <t>PI</t>
    </r>
    <r>
      <rPr>
        <sz val="11"/>
        <color rgb="FF000000"/>
        <rFont val="宋体"/>
        <charset val="134"/>
      </rPr>
      <t>参数</t>
    </r>
    <r>
      <rPr>
        <sz val="11"/>
        <color rgb="FF000000"/>
        <rFont val="Times New Roman"/>
        <charset val="134"/>
      </rPr>
      <t>Kp</t>
    </r>
  </si>
  <si>
    <r>
      <rPr>
        <sz val="11"/>
        <color rgb="FF000000"/>
        <rFont val="Times New Roman"/>
        <charset val="134"/>
      </rPr>
      <t>q</t>
    </r>
    <r>
      <rPr>
        <sz val="11"/>
        <color rgb="FF000000"/>
        <rFont val="宋体"/>
        <charset val="134"/>
      </rPr>
      <t>轴电流</t>
    </r>
    <r>
      <rPr>
        <sz val="11"/>
        <color rgb="FF000000"/>
        <rFont val="Times New Roman"/>
        <charset val="134"/>
      </rPr>
      <t>PI</t>
    </r>
    <r>
      <rPr>
        <sz val="11"/>
        <color rgb="FF000000"/>
        <rFont val="宋体"/>
        <charset val="134"/>
      </rPr>
      <t>参数</t>
    </r>
    <r>
      <rPr>
        <sz val="11"/>
        <color rgb="FF000000"/>
        <rFont val="Times New Roman"/>
        <charset val="134"/>
      </rPr>
      <t>Ki</t>
    </r>
  </si>
  <si>
    <r>
      <rPr>
        <sz val="11"/>
        <color rgb="FF000000"/>
        <rFont val="Times New Roman"/>
        <charset val="134"/>
      </rPr>
      <t>d</t>
    </r>
    <r>
      <rPr>
        <sz val="11"/>
        <color rgb="FF000000"/>
        <rFont val="宋体"/>
        <charset val="134"/>
      </rPr>
      <t>轴电流</t>
    </r>
    <r>
      <rPr>
        <sz val="11"/>
        <color rgb="FF000000"/>
        <rFont val="Times New Roman"/>
        <charset val="134"/>
      </rPr>
      <t>PI</t>
    </r>
    <r>
      <rPr>
        <sz val="11"/>
        <color rgb="FF000000"/>
        <rFont val="宋体"/>
        <charset val="134"/>
      </rPr>
      <t>参数</t>
    </r>
    <r>
      <rPr>
        <sz val="11"/>
        <color rgb="FF000000"/>
        <rFont val="Times New Roman"/>
        <charset val="134"/>
      </rPr>
      <t>Kp</t>
    </r>
  </si>
  <si>
    <r>
      <rPr>
        <sz val="11"/>
        <color rgb="FF000000"/>
        <rFont val="Times New Roman"/>
        <charset val="134"/>
      </rPr>
      <t>d</t>
    </r>
    <r>
      <rPr>
        <sz val="11"/>
        <color rgb="FF000000"/>
        <rFont val="宋体"/>
        <charset val="134"/>
      </rPr>
      <t>轴电流</t>
    </r>
    <r>
      <rPr>
        <sz val="11"/>
        <color rgb="FF000000"/>
        <rFont val="Times New Roman"/>
        <charset val="134"/>
      </rPr>
      <t>PI</t>
    </r>
    <r>
      <rPr>
        <sz val="11"/>
        <color rgb="FF000000"/>
        <rFont val="宋体"/>
        <charset val="134"/>
      </rPr>
      <t>参数</t>
    </r>
    <r>
      <rPr>
        <sz val="11"/>
        <color rgb="FF000000"/>
        <rFont val="Times New Roman"/>
        <charset val="134"/>
      </rPr>
      <t>Ki</t>
    </r>
  </si>
  <si>
    <r>
      <rPr>
        <sz val="11"/>
        <color rgb="FF000000"/>
        <rFont val="Times New Roman"/>
        <charset val="134"/>
      </rPr>
      <t>0</t>
    </r>
    <r>
      <rPr>
        <sz val="11"/>
        <color rgb="FF000000"/>
        <rFont val="宋体"/>
        <charset val="134"/>
      </rPr>
      <t>序电流</t>
    </r>
    <r>
      <rPr>
        <sz val="11"/>
        <color rgb="FF000000"/>
        <rFont val="Times New Roman"/>
        <charset val="134"/>
      </rPr>
      <t>PI</t>
    </r>
    <r>
      <rPr>
        <sz val="11"/>
        <color rgb="FF000000"/>
        <rFont val="宋体"/>
        <charset val="134"/>
      </rPr>
      <t>参数</t>
    </r>
    <r>
      <rPr>
        <sz val="11"/>
        <color rgb="FF000000"/>
        <rFont val="Times New Roman"/>
        <charset val="134"/>
      </rPr>
      <t>Kp</t>
    </r>
  </si>
  <si>
    <r>
      <rPr>
        <sz val="11"/>
        <color rgb="FF000000"/>
        <rFont val="Times New Roman"/>
        <charset val="134"/>
      </rPr>
      <t>0</t>
    </r>
    <r>
      <rPr>
        <sz val="11"/>
        <color rgb="FF000000"/>
        <rFont val="宋体"/>
        <charset val="134"/>
      </rPr>
      <t>序电流</t>
    </r>
    <r>
      <rPr>
        <sz val="11"/>
        <color rgb="FF000000"/>
        <rFont val="Times New Roman"/>
        <charset val="134"/>
      </rPr>
      <t>PI</t>
    </r>
    <r>
      <rPr>
        <sz val="11"/>
        <color rgb="FF000000"/>
        <rFont val="宋体"/>
        <charset val="134"/>
      </rPr>
      <t>参数</t>
    </r>
    <r>
      <rPr>
        <sz val="11"/>
        <color rgb="FF000000"/>
        <rFont val="Times New Roman"/>
        <charset val="134"/>
      </rPr>
      <t>Ki</t>
    </r>
  </si>
  <si>
    <t>占空比</t>
  </si>
  <si>
    <t>功率因数设定</t>
  </si>
  <si>
    <t>-1~1</t>
  </si>
  <si>
    <r>
      <rPr>
        <sz val="11"/>
        <color rgb="FF000000"/>
        <rFont val="宋体"/>
        <charset val="134"/>
      </rPr>
      <t>并网电流环</t>
    </r>
    <r>
      <rPr>
        <sz val="11"/>
        <color rgb="FF000000"/>
        <rFont val="Times New Roman"/>
        <charset val="134"/>
      </rPr>
      <t>KP</t>
    </r>
  </si>
  <si>
    <r>
      <rPr>
        <sz val="11"/>
        <color rgb="FF000000"/>
        <rFont val="宋体"/>
        <charset val="134"/>
      </rPr>
      <t>并网电流环</t>
    </r>
    <r>
      <rPr>
        <sz val="11"/>
        <color rgb="FF000000"/>
        <rFont val="Times New Roman"/>
        <charset val="134"/>
      </rPr>
      <t>Ki</t>
    </r>
  </si>
  <si>
    <t>网侧相电压有效值</t>
  </si>
  <si>
    <t>-200~200</t>
  </si>
  <si>
    <t>直流母线电流</t>
  </si>
  <si>
    <r>
      <rPr>
        <sz val="11"/>
        <color rgb="FF000000"/>
        <rFont val="Times New Roman"/>
        <charset val="134"/>
      </rPr>
      <t>A1</t>
    </r>
    <r>
      <rPr>
        <sz val="11"/>
        <color rgb="FF000000"/>
        <rFont val="宋体"/>
        <charset val="134"/>
      </rPr>
      <t>单相相电流</t>
    </r>
  </si>
  <si>
    <r>
      <rPr>
        <sz val="11"/>
        <color rgb="FF000000"/>
        <rFont val="Times New Roman"/>
        <charset val="134"/>
      </rPr>
      <t>A2</t>
    </r>
    <r>
      <rPr>
        <sz val="11"/>
        <color rgb="FF000000"/>
        <rFont val="宋体"/>
        <charset val="134"/>
      </rPr>
      <t>单相相电流</t>
    </r>
  </si>
  <si>
    <r>
      <rPr>
        <sz val="11"/>
        <color rgb="FF000000"/>
        <rFont val="Times New Roman"/>
        <charset val="134"/>
      </rPr>
      <t>B2</t>
    </r>
    <r>
      <rPr>
        <sz val="11"/>
        <color rgb="FF000000"/>
        <rFont val="宋体"/>
        <charset val="134"/>
      </rPr>
      <t>单项相电流</t>
    </r>
  </si>
  <si>
    <r>
      <rPr>
        <sz val="11"/>
        <color rgb="FF000000"/>
        <rFont val="Times New Roman"/>
        <charset val="134"/>
      </rPr>
      <t>C2</t>
    </r>
    <r>
      <rPr>
        <sz val="11"/>
        <color rgb="FF000000"/>
        <rFont val="宋体"/>
        <charset val="134"/>
      </rPr>
      <t>单相电电流</t>
    </r>
  </si>
  <si>
    <r>
      <rPr>
        <sz val="11"/>
        <color rgb="FF000000"/>
        <rFont val="Times New Roman"/>
        <charset val="134"/>
      </rPr>
      <t>N2</t>
    </r>
    <r>
      <rPr>
        <sz val="11"/>
        <color rgb="FF000000"/>
        <rFont val="宋体"/>
        <charset val="134"/>
      </rPr>
      <t>单相电电流</t>
    </r>
  </si>
  <si>
    <r>
      <rPr>
        <sz val="11"/>
        <color rgb="FF000000"/>
        <rFont val="Times New Roman"/>
        <charset val="134"/>
      </rPr>
      <t>A</t>
    </r>
    <r>
      <rPr>
        <sz val="11"/>
        <color rgb="FF000000"/>
        <rFont val="宋体"/>
        <charset val="134"/>
      </rPr>
      <t>总电流</t>
    </r>
  </si>
  <si>
    <t>-300~300</t>
  </si>
  <si>
    <r>
      <rPr>
        <sz val="11"/>
        <color rgb="FF000000"/>
        <rFont val="Times New Roman"/>
        <charset val="134"/>
      </rPr>
      <t>B</t>
    </r>
    <r>
      <rPr>
        <sz val="11"/>
        <color rgb="FF000000"/>
        <rFont val="宋体"/>
        <charset val="134"/>
      </rPr>
      <t>总电流</t>
    </r>
  </si>
  <si>
    <r>
      <rPr>
        <sz val="11"/>
        <color rgb="FF000000"/>
        <rFont val="Times New Roman"/>
        <charset val="134"/>
      </rPr>
      <t>C</t>
    </r>
    <r>
      <rPr>
        <sz val="11"/>
        <color rgb="FF000000"/>
        <rFont val="宋体"/>
        <charset val="134"/>
      </rPr>
      <t>总电流</t>
    </r>
  </si>
  <si>
    <r>
      <rPr>
        <sz val="11"/>
        <color rgb="FF000000"/>
        <rFont val="Times New Roman"/>
        <charset val="134"/>
      </rPr>
      <t>A</t>
    </r>
    <r>
      <rPr>
        <sz val="11"/>
        <color rgb="FF000000"/>
        <rFont val="宋体"/>
        <charset val="134"/>
      </rPr>
      <t>相电压</t>
    </r>
  </si>
  <si>
    <t>-250~250</t>
  </si>
  <si>
    <r>
      <rPr>
        <sz val="11"/>
        <color rgb="FF000000"/>
        <rFont val="Times New Roman"/>
        <charset val="134"/>
      </rPr>
      <t>B</t>
    </r>
    <r>
      <rPr>
        <sz val="11"/>
        <color rgb="FF000000"/>
        <rFont val="宋体"/>
        <charset val="134"/>
      </rPr>
      <t>相电压</t>
    </r>
  </si>
  <si>
    <r>
      <rPr>
        <sz val="11"/>
        <color rgb="FF000000"/>
        <rFont val="Times New Roman"/>
        <charset val="134"/>
      </rPr>
      <t>C</t>
    </r>
    <r>
      <rPr>
        <sz val="11"/>
        <color rgb="FF000000"/>
        <rFont val="宋体"/>
        <charset val="134"/>
      </rPr>
      <t>相电压</t>
    </r>
  </si>
  <si>
    <t>直流电压</t>
  </si>
  <si>
    <t>1V</t>
  </si>
  <si>
    <r>
      <rPr>
        <sz val="11"/>
        <color rgb="FF000000"/>
        <rFont val="Times New Roman"/>
        <charset val="134"/>
      </rPr>
      <t>ARM-DSP</t>
    </r>
    <r>
      <rPr>
        <sz val="11"/>
        <color rgb="FF000000"/>
        <rFont val="宋体"/>
        <charset val="134"/>
      </rPr>
      <t>交互</t>
    </r>
  </si>
  <si>
    <t>0x0001 DSP新数据准备完成
0x1000 ARM新数据读取完成</t>
  </si>
  <si>
    <r>
      <rPr>
        <sz val="11"/>
        <color rgb="FF000000"/>
        <rFont val="Times New Roman"/>
        <charset val="134"/>
      </rPr>
      <t>30</t>
    </r>
    <r>
      <rPr>
        <sz val="11"/>
        <color rgb="FF000000"/>
        <rFont val="宋体"/>
        <charset val="134"/>
      </rPr>
      <t>秒预留</t>
    </r>
  </si>
  <si>
    <t>0.1KW</t>
  </si>
  <si>
    <r>
      <rPr>
        <sz val="11"/>
        <color rgb="FF000000"/>
        <rFont val="Times New Roman"/>
        <charset val="134"/>
      </rPr>
      <t>30</t>
    </r>
    <r>
      <rPr>
        <sz val="11"/>
        <color rgb="FF000000"/>
        <rFont val="宋体"/>
        <charset val="134"/>
      </rPr>
      <t>秒直流充电电量</t>
    </r>
  </si>
  <si>
    <r>
      <rPr>
        <sz val="11"/>
        <color rgb="FF000000"/>
        <rFont val="Times New Roman"/>
        <charset val="134"/>
      </rPr>
      <t>30</t>
    </r>
    <r>
      <rPr>
        <sz val="11"/>
        <color rgb="FF000000"/>
        <rFont val="宋体"/>
        <charset val="134"/>
      </rPr>
      <t>秒直流放电电量</t>
    </r>
  </si>
  <si>
    <r>
      <rPr>
        <sz val="11"/>
        <color rgb="FF000000"/>
        <rFont val="Times New Roman"/>
        <charset val="134"/>
      </rPr>
      <t>30</t>
    </r>
    <r>
      <rPr>
        <sz val="11"/>
        <color rgb="FF000000"/>
        <rFont val="宋体"/>
        <charset val="134"/>
      </rPr>
      <t>秒预留数据</t>
    </r>
  </si>
  <si>
    <r>
      <rPr>
        <sz val="11"/>
        <color rgb="FF000000"/>
        <rFont val="Times New Roman"/>
        <charset val="134"/>
      </rPr>
      <t>BMS</t>
    </r>
    <r>
      <rPr>
        <sz val="11"/>
        <color rgb="FF000000"/>
        <rFont val="宋体"/>
        <charset val="134"/>
      </rPr>
      <t>最大充电电流</t>
    </r>
  </si>
  <si>
    <r>
      <rPr>
        <sz val="11"/>
        <color rgb="FF000000"/>
        <rFont val="Times New Roman"/>
        <charset val="134"/>
      </rPr>
      <t>BMS</t>
    </r>
    <r>
      <rPr>
        <sz val="11"/>
        <color rgb="FF000000"/>
        <rFont val="宋体"/>
        <charset val="134"/>
      </rPr>
      <t>最大放电电流</t>
    </r>
  </si>
  <si>
    <t>录波存储标志</t>
  </si>
  <si>
    <t>0-数据更新 10-数据存储</t>
  </si>
  <si>
    <t>录波数据长度</t>
  </si>
  <si>
    <t>录波数据首地址</t>
  </si>
  <si>
    <t>录波数据尾地址</t>
  </si>
  <si>
    <t>ARM时间戳高位</t>
  </si>
  <si>
    <t>ARM时间戳低位</t>
  </si>
  <si>
    <t>交流线序检测使能</t>
  </si>
  <si>
    <t>0：不使能线序检测  1：使能</t>
  </si>
  <si>
    <t>直流电流正放大倍数</t>
  </si>
  <si>
    <t>0~65536</t>
  </si>
  <si>
    <t>曲线的K值，下发保存</t>
  </si>
  <si>
    <t>直流电流正偏移量</t>
  </si>
  <si>
    <t>0~3276.8</t>
  </si>
  <si>
    <t>曲线的b值，下发保存</t>
  </si>
  <si>
    <t>采样校准使能</t>
  </si>
  <si>
    <t>下发使能标志位开始校准，不保存</t>
  </si>
  <si>
    <t>电网A相偏移量</t>
  </si>
  <si>
    <t>A相电压偏移量，把这个偏移量下发到DSP中</t>
  </si>
  <si>
    <t>电网A相偏移量下发</t>
  </si>
  <si>
    <t>电网B相偏移量</t>
  </si>
  <si>
    <t>B相电压偏移量，把这个偏移量下发到DSP中</t>
  </si>
  <si>
    <t>电网B相偏移量下发</t>
  </si>
  <si>
    <t>下发保存</t>
  </si>
  <si>
    <t>电网C相偏移量</t>
  </si>
  <si>
    <t>C相电压偏移量，把这个偏移量下发到DSP中</t>
  </si>
  <si>
    <t>电网C相偏移量下发</t>
  </si>
  <si>
    <t>电池电压AD值</t>
  </si>
  <si>
    <t>0~4095</t>
  </si>
  <si>
    <t>显示不同电压的AD值，根据AD值计算y=kx+b</t>
  </si>
  <si>
    <t>电池电压放大倍数</t>
  </si>
  <si>
    <t>电池电压的偏移量</t>
  </si>
  <si>
    <t>直流电流AD值</t>
  </si>
  <si>
    <t>显示不同电流的AD值，根据AD值计算y=kx+b</t>
  </si>
  <si>
    <t>直流电流负放大倍数</t>
  </si>
  <si>
    <t>直流电流负偏移量</t>
  </si>
  <si>
    <t>正有功修正系数</t>
  </si>
  <si>
    <t>根据实际功率数和给定功率数进行计算
修正系数 = 实际功率数/给定功率数</t>
  </si>
  <si>
    <t>负有功修正系数</t>
  </si>
  <si>
    <t>同上</t>
  </si>
  <si>
    <t>正无功修正系数</t>
  </si>
  <si>
    <t>负无功修正系数</t>
  </si>
  <si>
    <t>电网电压最大值</t>
  </si>
  <si>
    <t>电网锁相角度</t>
  </si>
  <si>
    <t>电网锁相频率</t>
  </si>
  <si>
    <t>0~30</t>
  </si>
  <si>
    <t>设置（多项）</t>
  </si>
  <si>
    <t>0~15</t>
  </si>
  <si>
    <t>bit0：启停设置
    0-停机
    1-启机
bit1：主从设置
    0-从机
    1-主机
bit2：模式设置
    0-备电
    1-充电
bit3：复位指令
    0-不操作
    1-复位</t>
  </si>
  <si>
    <r>
      <rPr>
        <sz val="11"/>
        <color rgb="FF000000"/>
        <rFont val="Times New Roman"/>
        <charset val="134"/>
      </rPr>
      <t>CAN</t>
    </r>
    <r>
      <rPr>
        <sz val="11"/>
        <color rgb="FF000000"/>
        <rFont val="宋体"/>
        <charset val="134"/>
      </rPr>
      <t>通信状态</t>
    </r>
  </si>
  <si>
    <t>0-正常
1-can0离线
2-can1离线
3-can0和can1都离线</t>
  </si>
  <si>
    <t>PCS状态</t>
  </si>
  <si>
    <t>0-31</t>
  </si>
  <si>
    <t>bit 0：PCS启停标志
    0-未启动
    1-已启动
bit 1：PCS继电器标志
    0-未吸合
    1-已吸合
bit2 ：PCS发波标志
    0-未发波
    1-已发波
bit3：充电电网故障
    0-充电电网无故障
    1-充电电网故障
bit4：PCS故障
    0-无故障
    1-有故障</t>
  </si>
  <si>
    <t>交流电压A相放大倍数</t>
  </si>
  <si>
    <t>交流A相放大倍数</t>
  </si>
  <si>
    <t>交流电压B相放大倍数</t>
  </si>
  <si>
    <t>交流B相放大倍数</t>
  </si>
  <si>
    <t>交流电压C相放大倍数</t>
  </si>
  <si>
    <t>交流C相放大倍数</t>
  </si>
  <si>
    <t>启停机</t>
  </si>
  <si>
    <t>1:开始测试
0:停止测试</t>
  </si>
  <si>
    <t>内部通信测试</t>
  </si>
  <si>
    <t>ARM-DSP,写入值成功，即可</t>
  </si>
  <si>
    <t>并机CAN通信测试</t>
  </si>
  <si>
    <t>DSP E2存储、I2C通信，自检状态</t>
  </si>
  <si>
    <t>采样测试</t>
  </si>
  <si>
    <t>保护电路测试</t>
  </si>
  <si>
    <t>风扇占空比参数</t>
  </si>
  <si>
    <t>干结点逻辑测试</t>
  </si>
  <si>
    <t>PWM测试</t>
  </si>
  <si>
    <t>输入为占空比:控制0-15GPIO输出的占空比</t>
  </si>
  <si>
    <t>输入端口信号测试</t>
  </si>
  <si>
    <t>输出端口信号测试</t>
  </si>
  <si>
    <t>输入为电平状态，控制所有输出端口电平</t>
  </si>
  <si>
    <t>DSP急停信号状态</t>
  </si>
  <si>
    <t>1-高电平，0-低电平</t>
  </si>
  <si>
    <t>漏电流采样Iac_leakage_sense</t>
  </si>
  <si>
    <t>ADC采样值</t>
  </si>
  <si>
    <t>漏电流采样Vref_SFG</t>
  </si>
  <si>
    <t xml:space="preserve">0~4095 </t>
  </si>
  <si>
    <t>交流电压采样Vac_PA_INV</t>
  </si>
  <si>
    <t>交流电压采样Vac_PB_INV</t>
  </si>
  <si>
    <t>交流电压采样Vac_PC_INV</t>
  </si>
  <si>
    <t>交流电压采样Vac_PA_GRID</t>
  </si>
  <si>
    <t>交流电压采样Vac_PB_GRID</t>
  </si>
  <si>
    <t>交流电压采样Vac_PC_GRID</t>
  </si>
  <si>
    <t>总相电流采样Itotal_PhasePA</t>
  </si>
  <si>
    <t>总相电流采样Itotal_PhasePB</t>
  </si>
  <si>
    <t>总相电流采样Itotal_PhasePC</t>
  </si>
  <si>
    <t>直流电压采样VBAT+_Cmsense</t>
  </si>
  <si>
    <t>直流电压采样VBUS+_sense</t>
  </si>
  <si>
    <t>绝缘电阻采样Rsul_P</t>
  </si>
  <si>
    <t>分支电流采样 N1</t>
  </si>
  <si>
    <t>分支电流采样 A1</t>
  </si>
  <si>
    <t>分支电流采样 B1</t>
  </si>
  <si>
    <t>分支电流采样 C1</t>
  </si>
  <si>
    <t>分支电流采样 N2</t>
  </si>
  <si>
    <t>分支电流采样 A2</t>
  </si>
  <si>
    <t>分支电流采样 B2</t>
  </si>
  <si>
    <t>分支电流采样 C2</t>
  </si>
  <si>
    <t>GPIO 端口输入状态     GPIO68</t>
  </si>
  <si>
    <t>读取GPIO状态</t>
  </si>
  <si>
    <t>GPIO 端口输入状态     GPIO67</t>
  </si>
  <si>
    <t>GPIO 端口输入状态     GPIO80</t>
  </si>
  <si>
    <t>GPIO 端口输入状态     GPIO81</t>
  </si>
  <si>
    <t>GPIO 端口输入状态     GPIO82</t>
  </si>
  <si>
    <t>GPIO 端口输入状态     GPIO94</t>
  </si>
  <si>
    <t>直流电流采样</t>
  </si>
  <si>
    <t>保护状态显示</t>
  </si>
  <si>
    <t>交流继电器控制</t>
  </si>
  <si>
    <t>0:GPIO18 
1:GPIO16
2:GPIO22 
3:GPIO20
4:GPIO19
5:GPIO17
6:GPIO23
7:GPIO21
15:启停测试模式 1:启动测试</t>
  </si>
  <si>
    <t>晶闸管控制信号</t>
  </si>
  <si>
    <t>0:GPIO85
1:GPIO86
2:GPIO87
15:启停测试模式 1:启动测试</t>
  </si>
  <si>
    <t>漏电流自检控制信号</t>
  </si>
  <si>
    <t>防雷检测</t>
  </si>
  <si>
    <t>0:状态显示（1高电平 0:低电平）
15:启动检测</t>
  </si>
  <si>
    <t>电池电压采样</t>
  </si>
  <si>
    <t>母线电压采样</t>
  </si>
  <si>
    <t>直流正负接触器设置</t>
  </si>
  <si>
    <t>0:正接触器
1:负接触器
15:启动</t>
  </si>
  <si>
    <t>直流正负接触器读取</t>
  </si>
  <si>
    <t>0:正接触器
1:负接触器</t>
  </si>
  <si>
    <t>绝缘电阻检测</t>
  </si>
  <si>
    <t>预充与泄放功能</t>
  </si>
  <si>
    <t>0:GPIO75
1:GPIO71
15:控制位</t>
  </si>
  <si>
    <t>有效值测试</t>
  </si>
  <si>
    <t>0xE035</t>
  </si>
  <si>
    <t>A1电流有效值</t>
  </si>
  <si>
    <t>0xE036</t>
  </si>
  <si>
    <t>A2电流有效值</t>
  </si>
  <si>
    <t>0xE037</t>
  </si>
  <si>
    <t>B1电流有效值</t>
  </si>
  <si>
    <t>0xE038</t>
  </si>
  <si>
    <t>B2电流有效值</t>
  </si>
  <si>
    <t>0xE039</t>
  </si>
  <si>
    <t>C1电流有效值</t>
  </si>
  <si>
    <t>0xE03A</t>
  </si>
  <si>
    <t>C2电流有效值</t>
  </si>
  <si>
    <t>0xE03B</t>
  </si>
  <si>
    <t>N1电流有效值</t>
  </si>
  <si>
    <t>0xE03C</t>
  </si>
  <si>
    <t>N2电流有效值</t>
  </si>
  <si>
    <t>0xE03D</t>
  </si>
  <si>
    <t>A相总电流有效值</t>
  </si>
  <si>
    <t>0xE03E</t>
  </si>
  <si>
    <t>B相总电流有效值</t>
  </si>
  <si>
    <t>0xE03F</t>
  </si>
  <si>
    <t>C相总电流有效值</t>
  </si>
  <si>
    <t>0xE040</t>
  </si>
  <si>
    <t>A相电网电压有效值</t>
  </si>
  <si>
    <t>0xE041</t>
  </si>
  <si>
    <t>B相电网电压有效值</t>
  </si>
  <si>
    <t>0xE042</t>
  </si>
  <si>
    <t>C相电网电压有效值</t>
  </si>
  <si>
    <t>0xE043</t>
  </si>
  <si>
    <t>A相PCS电压有效值</t>
  </si>
  <si>
    <t>0xE044</t>
  </si>
  <si>
    <t>B相PCS电压有效值</t>
  </si>
  <si>
    <t>0xE045</t>
  </si>
  <si>
    <t>C相PCS电压有效值</t>
  </si>
  <si>
    <t>0xE046</t>
  </si>
  <si>
    <t>前面板功能  电源</t>
  </si>
  <si>
    <t>1-点亮，0-关闭</t>
  </si>
  <si>
    <t>前面板功能  运行</t>
  </si>
  <si>
    <t>前面板功能  故障</t>
  </si>
  <si>
    <t>EPO故障信号状态</t>
  </si>
  <si>
    <t>BMS故障信号状态</t>
  </si>
  <si>
    <t>4G通讯，自检状态</t>
  </si>
  <si>
    <t>0:4G通讯无异常
1:通讯卡插入成功
2:连接服务器成功</t>
  </si>
  <si>
    <t>ARM Flash存储、SPI通信，自检状态</t>
  </si>
  <si>
    <t>1-无异常，0-异常</t>
  </si>
  <si>
    <t>ARM E2存储、I2C通信，自检状态</t>
  </si>
  <si>
    <t>半桥板温度采样A</t>
  </si>
  <si>
    <t>半桥板温度采样B</t>
  </si>
  <si>
    <t>半桥板温度采样C</t>
  </si>
  <si>
    <t>半桥板温度采样N</t>
  </si>
  <si>
    <t>电感温度采样L1</t>
  </si>
  <si>
    <t>波特率</t>
  </si>
  <si>
    <t>规则</t>
  </si>
  <si>
    <t>485 通信测试</t>
  </si>
  <si>
    <t>下发查询“控制命令来源”指令(HEX): AA 02 11 00 00 00 ED 64
ARM回复(HEX):AA 82 11 00 00 02 00 00（或00 01） 85 CA（或45 0B）</t>
  </si>
  <si>
    <t>BMS CAN通信测试</t>
  </si>
  <si>
    <t>ID:0x18E30101 
下发禁充指令(HEX):40 1F 58 1B 20 00 20 03  
回复放电请求(HEX):55 55 AA AA 00 00 00 00</t>
  </si>
  <si>
    <t>BMS 485通信测试</t>
  </si>
  <si>
    <t>下发(HEX): 11 22 33 44 55
回复(HEX):66 77 88 99 AA</t>
  </si>
  <si>
    <t>ARM 通讯指示灯</t>
  </si>
  <si>
    <t>频闪即为正常</t>
  </si>
  <si>
    <t>安规类型</t>
  </si>
  <si>
    <t>0x8000</t>
  </si>
  <si>
    <t>Uint16 u16Type</t>
  </si>
  <si>
    <t>安规类型选择，上位机类型选择内容</t>
  </si>
  <si>
    <t>检查时间</t>
  </si>
  <si>
    <t>0x8001</t>
  </si>
  <si>
    <t>14~1000</t>
  </si>
  <si>
    <t xml:space="preserve">Uint16 u16CheckingTime; </t>
  </si>
  <si>
    <t>故障后重连时间判断</t>
  </si>
  <si>
    <t>重连时间</t>
  </si>
  <si>
    <t>0x8002</t>
  </si>
  <si>
    <t>14~50000</t>
  </si>
  <si>
    <t xml:space="preserve">Uint16 u16ReConnectionTime; </t>
  </si>
  <si>
    <t>观测时间</t>
  </si>
  <si>
    <t>0x8003</t>
  </si>
  <si>
    <t>9~600</t>
  </si>
  <si>
    <t xml:space="preserve">Uint16 u16ObservationTime; </t>
  </si>
  <si>
    <t>重新观测时间</t>
  </si>
  <si>
    <t>0x8004</t>
  </si>
  <si>
    <t xml:space="preserve">Uint16 u16ReConObvTime; </t>
  </si>
  <si>
    <t>额定电压有效值</t>
  </si>
  <si>
    <t>0x8005</t>
  </si>
  <si>
    <t>100~300</t>
  </si>
  <si>
    <t>Uint16 u16UrmsRated;</t>
  </si>
  <si>
    <t>额定电压先预留</t>
  </si>
  <si>
    <t>第一次上电有无功率缓启</t>
  </si>
  <si>
    <t>0x8006</t>
  </si>
  <si>
    <t xml:space="preserve">Uint16  u16FirstEn; </t>
  </si>
  <si>
    <t>软起动数据</t>
  </si>
  <si>
    <t>每次启机检测使能</t>
  </si>
  <si>
    <t>0x8007</t>
  </si>
  <si>
    <t xml:space="preserve">Uint16  u16EveryEn; </t>
  </si>
  <si>
    <t>保护使能</t>
  </si>
  <si>
    <t>0x8008</t>
  </si>
  <si>
    <t xml:space="preserve">Uint16  u16ProtectEn; </t>
  </si>
  <si>
    <t>连接功率斜坡</t>
  </si>
  <si>
    <t>0x8009</t>
  </si>
  <si>
    <t xml:space="preserve">float32 f32ConSlop; </t>
  </si>
  <si>
    <t>重连功率斜坡</t>
  </si>
  <si>
    <t>0x800A</t>
  </si>
  <si>
    <t xml:space="preserve">float32 f32ReconSlop; </t>
  </si>
  <si>
    <t>功率斜坡比率</t>
  </si>
  <si>
    <t>0x800B</t>
  </si>
  <si>
    <t>float32 f32RatioSlop;</t>
  </si>
  <si>
    <t>一级过压</t>
  </si>
  <si>
    <t>0x800C</t>
  </si>
  <si>
    <t>230~300</t>
  </si>
  <si>
    <t xml:space="preserve">float32 f32Ovp1st; </t>
  </si>
  <si>
    <t>电网电压保护</t>
  </si>
  <si>
    <t>二级过压</t>
  </si>
  <si>
    <t>0x800D</t>
  </si>
  <si>
    <t>230~312</t>
  </si>
  <si>
    <t xml:space="preserve">float32 f32Ovp2nd; </t>
  </si>
  <si>
    <t>三级过压</t>
  </si>
  <si>
    <t>0x800E</t>
  </si>
  <si>
    <t xml:space="preserve">float32 f32Ovp3rd; </t>
  </si>
  <si>
    <t>一级欠压</t>
  </si>
  <si>
    <t>0x800F</t>
  </si>
  <si>
    <t>80~230</t>
  </si>
  <si>
    <t xml:space="preserve">float32 f32Uvp1st; </t>
  </si>
  <si>
    <t>二级欠压</t>
  </si>
  <si>
    <t>0x8010</t>
  </si>
  <si>
    <t>23~230</t>
  </si>
  <si>
    <t xml:space="preserve">float32 f32Uvp2nd; </t>
  </si>
  <si>
    <t>三级欠压</t>
  </si>
  <si>
    <t>0x8011</t>
  </si>
  <si>
    <t xml:space="preserve">float32 f32Uvp3rd; </t>
  </si>
  <si>
    <t>电压启动上限</t>
  </si>
  <si>
    <t>0x8012</t>
  </si>
  <si>
    <t xml:space="preserve">float32 f32StartUp; </t>
  </si>
  <si>
    <t>电压启动下限</t>
  </si>
  <si>
    <t>0x8013</t>
  </si>
  <si>
    <t>90~230</t>
  </si>
  <si>
    <t xml:space="preserve">float32 f32StartLo; </t>
  </si>
  <si>
    <t>过压恢复值</t>
  </si>
  <si>
    <t>0x8014</t>
  </si>
  <si>
    <t xml:space="preserve">float32 f32OvpRecover; </t>
  </si>
  <si>
    <t>欠压恢复值</t>
  </si>
  <si>
    <t>0x8015</t>
  </si>
  <si>
    <t xml:space="preserve">float32 f32UvpRecover; </t>
  </si>
  <si>
    <t>一级过压时间</t>
  </si>
  <si>
    <t>0x8016</t>
  </si>
  <si>
    <t>0~10000</t>
  </si>
  <si>
    <t xml:space="preserve">Uint16  u16Ovp1stTime; </t>
  </si>
  <si>
    <t>二级过压时间</t>
  </si>
  <si>
    <t>0x8017</t>
  </si>
  <si>
    <t>0~2000</t>
  </si>
  <si>
    <t xml:space="preserve">Uint16  u16Ovp2ndTime; </t>
  </si>
  <si>
    <t>三级过压时间</t>
  </si>
  <si>
    <t>0x8018</t>
  </si>
  <si>
    <t xml:space="preserve">Uint16  u16Ovp3rdTime; </t>
  </si>
  <si>
    <t>一级欠压时间</t>
  </si>
  <si>
    <t>0x8019</t>
  </si>
  <si>
    <t>0~50000</t>
  </si>
  <si>
    <t xml:space="preserve">Uint16  u16Uvp1stTime; </t>
  </si>
  <si>
    <t>二级欠压时间</t>
  </si>
  <si>
    <t>0x801A</t>
  </si>
  <si>
    <t xml:space="preserve">Uint16  u16Uvp2ndTime; </t>
  </si>
  <si>
    <t>三级欠压时间</t>
  </si>
  <si>
    <t>0x801B</t>
  </si>
  <si>
    <t xml:space="preserve">Uint16  u16Uvp3rdTime; </t>
  </si>
  <si>
    <t>电压恢复时间</t>
  </si>
  <si>
    <t>0x801C</t>
  </si>
  <si>
    <t xml:space="preserve">Uint16  u16RecoverTime; </t>
  </si>
  <si>
    <t>电压时间调整</t>
  </si>
  <si>
    <t>0x801D</t>
  </si>
  <si>
    <t xml:space="preserve">Uint16  u16vpTimeAdj; </t>
  </si>
  <si>
    <t>10分钟过压点</t>
  </si>
  <si>
    <t>0x801E</t>
  </si>
  <si>
    <t xml:space="preserve">float32 f32Ovp; </t>
  </si>
  <si>
    <t>10min过压保护</t>
  </si>
  <si>
    <t>10分钟过压恢复点</t>
  </si>
  <si>
    <t>0x801F</t>
  </si>
  <si>
    <t>float32 f32OvpRecover;</t>
  </si>
  <si>
    <t xml:space="preserve">Ovp6sCnt </t>
  </si>
  <si>
    <t>0x8020</t>
  </si>
  <si>
    <t>10~6000</t>
  </si>
  <si>
    <t xml:space="preserve">Uint16  u16Ovp6sCnt; </t>
  </si>
  <si>
    <t>OvpTimer</t>
  </si>
  <si>
    <t>0x8021</t>
  </si>
  <si>
    <t>1~100</t>
  </si>
  <si>
    <t>Uint16  u16OvpTimer;</t>
  </si>
  <si>
    <t>频率保护曲线</t>
  </si>
  <si>
    <t>0x8022</t>
  </si>
  <si>
    <t xml:space="preserve">Uint16  u16CurveType; </t>
  </si>
  <si>
    <t>电网频率保护</t>
  </si>
  <si>
    <t>一级过频点</t>
  </si>
  <si>
    <t>0x8023</t>
  </si>
  <si>
    <t>50~55</t>
  </si>
  <si>
    <t xml:space="preserve">float32 f32Ofp1st; </t>
  </si>
  <si>
    <t>二级过频点</t>
  </si>
  <si>
    <t>0x8024</t>
  </si>
  <si>
    <t xml:space="preserve">float32 f32Ofp2nd; </t>
  </si>
  <si>
    <t>一级欠频点</t>
  </si>
  <si>
    <t>0x8025</t>
  </si>
  <si>
    <t>40~50</t>
  </si>
  <si>
    <t xml:space="preserve">float32 f32Ufp1st; </t>
  </si>
  <si>
    <t>二级欠频点</t>
  </si>
  <si>
    <t>0x8026</t>
  </si>
  <si>
    <t xml:space="preserve">float32 f32Ufp2nd; </t>
  </si>
  <si>
    <t>启机频率上限</t>
  </si>
  <si>
    <t>0x8027</t>
  </si>
  <si>
    <t>启机频率下限</t>
  </si>
  <si>
    <t>0x8028</t>
  </si>
  <si>
    <t>过频恢复点</t>
  </si>
  <si>
    <t>0x8029</t>
  </si>
  <si>
    <t xml:space="preserve">float32 f32OfpRecover; </t>
  </si>
  <si>
    <t>欠频恢复点</t>
  </si>
  <si>
    <t>0x802A</t>
  </si>
  <si>
    <t xml:space="preserve">float32 f32UfpRecover; </t>
  </si>
  <si>
    <t>一级过频时间</t>
  </si>
  <si>
    <t>0x802B</t>
  </si>
  <si>
    <t>0~30000</t>
  </si>
  <si>
    <t xml:space="preserve">Uint16  u16Ofp1stTime; </t>
  </si>
  <si>
    <t>二级过频时间</t>
  </si>
  <si>
    <t>0x802C</t>
  </si>
  <si>
    <t>0~20000</t>
  </si>
  <si>
    <t xml:space="preserve">Uint16  u16Ofp2ndTime; </t>
  </si>
  <si>
    <t>一级欠频时间</t>
  </si>
  <si>
    <t>0x802D</t>
  </si>
  <si>
    <t xml:space="preserve">Uint16  u16Ufp1stTime; </t>
  </si>
  <si>
    <t>二级欠频时间</t>
  </si>
  <si>
    <t>0x802E</t>
  </si>
  <si>
    <t xml:space="preserve">Uint16  u16Ufp2ndTime; </t>
  </si>
  <si>
    <t>频率恢复时间</t>
  </si>
  <si>
    <t>0x802F</t>
  </si>
  <si>
    <t>时间调节</t>
  </si>
  <si>
    <t>0x8030</t>
  </si>
  <si>
    <t>Uint16  u16fpTimeAdj; 预留</t>
  </si>
  <si>
    <t>外部触发信号</t>
  </si>
  <si>
    <t>0x8031</t>
  </si>
  <si>
    <t xml:space="preserve">Uint16  u16External_Signal; </t>
  </si>
  <si>
    <t>内部命令</t>
  </si>
  <si>
    <t>0x8032</t>
  </si>
  <si>
    <t xml:space="preserve">Uint16  u16Local_Command; </t>
  </si>
  <si>
    <t>频率变化率</t>
  </si>
  <si>
    <t>0x8033</t>
  </si>
  <si>
    <t xml:space="preserve">float32 f32OverPoint; </t>
  </si>
  <si>
    <t>故障时间</t>
  </si>
  <si>
    <t>0x8034</t>
  </si>
  <si>
    <t>0~1000</t>
  </si>
  <si>
    <t xml:space="preserve">Uint16  u16FaultTime; </t>
  </si>
  <si>
    <t>过频点</t>
  </si>
  <si>
    <t>0x8035</t>
  </si>
  <si>
    <t>50~52</t>
  </si>
  <si>
    <t xml:space="preserve">float32 f32FreqOverPoint; </t>
  </si>
  <si>
    <t>过频降载曲线</t>
  </si>
  <si>
    <t>0功率频率点</t>
  </si>
  <si>
    <t>0x8036</t>
  </si>
  <si>
    <t xml:space="preserve">float32 f32FreqOver0PowerPoint; </t>
  </si>
  <si>
    <t>过频停止点</t>
  </si>
  <si>
    <t>0x8037</t>
  </si>
  <si>
    <t>51~53</t>
  </si>
  <si>
    <t xml:space="preserve">float32 f32FreqOverStop; </t>
  </si>
  <si>
    <t>0x8038</t>
  </si>
  <si>
    <t xml:space="preserve">float32 f32FreqOverRecoverPoint; </t>
  </si>
  <si>
    <t>频率恢复后软启功率斜率</t>
  </si>
  <si>
    <t>0x8039</t>
  </si>
  <si>
    <t xml:space="preserve">float32 f32FreqOverRamp; </t>
  </si>
  <si>
    <t>频率恢复后软启动是否使能</t>
  </si>
  <si>
    <t>0x803A</t>
  </si>
  <si>
    <t>Uint16  u16FreqOverRampEn; 预留</t>
  </si>
  <si>
    <t>频率-功率下垂参数</t>
  </si>
  <si>
    <t>0x803B</t>
  </si>
  <si>
    <t>0~20</t>
  </si>
  <si>
    <t xml:space="preserve">float32 f32S; </t>
  </si>
  <si>
    <t>频率变化响应延时使能</t>
  </si>
  <si>
    <t>0x803C</t>
  </si>
  <si>
    <t xml:space="preserve">Uint16  u16ResponseDelayEn; </t>
  </si>
  <si>
    <t>频率变化响应延时时间</t>
  </si>
  <si>
    <t>0x803D</t>
  </si>
  <si>
    <t xml:space="preserve">Uint16  u16EnteryDelayTime; </t>
  </si>
  <si>
    <t>退出过频响应延迟时间</t>
  </si>
  <si>
    <t>0x803E</t>
  </si>
  <si>
    <t xml:space="preserve">Uint32  u32ExitDelayTime; </t>
  </si>
  <si>
    <t>RPBF曲线类型</t>
  </si>
  <si>
    <t>0x803F</t>
  </si>
  <si>
    <t>过频点F5</t>
  </si>
  <si>
    <t>0x8040</t>
  </si>
  <si>
    <t>BESF_f32FreqOverPointf5; 预留</t>
  </si>
  <si>
    <t>过频点F6</t>
  </si>
  <si>
    <t>0x8041</t>
  </si>
  <si>
    <t>BESF_f32FreqOverPointf6; 预留</t>
  </si>
  <si>
    <t>超时时间</t>
  </si>
  <si>
    <t>0x8042</t>
  </si>
  <si>
    <t>BESF_u16FreqOverS4; 预留</t>
  </si>
  <si>
    <t>欠频响应曲线类型</t>
  </si>
  <si>
    <t>0x8043</t>
  </si>
  <si>
    <t>0~4</t>
  </si>
  <si>
    <t>欠频升载曲线</t>
  </si>
  <si>
    <t>欠频进入频率点</t>
  </si>
  <si>
    <t>0x8044</t>
  </si>
  <si>
    <t>46~50</t>
  </si>
  <si>
    <t xml:space="preserve">float32 f32FreqUnderPoint; </t>
  </si>
  <si>
    <t>0功率欠频点</t>
  </si>
  <si>
    <t>0x8045</t>
  </si>
  <si>
    <t>48~50</t>
  </si>
  <si>
    <t xml:space="preserve">float32 f32FreqUnder0PowerPoint; </t>
  </si>
  <si>
    <t>欠频停止点</t>
  </si>
  <si>
    <t>0x8046</t>
  </si>
  <si>
    <t xml:space="preserve">float32 f32FreqUnderStop; </t>
  </si>
  <si>
    <t>0x8047</t>
  </si>
  <si>
    <t xml:space="preserve">float32 f32FreqUnderRecovPoint; </t>
  </si>
  <si>
    <t>0x8048</t>
  </si>
  <si>
    <t>float32 f32FreqUnderRamp; 预留</t>
  </si>
  <si>
    <t>0x8049</t>
  </si>
  <si>
    <t>欠频延迟时间</t>
  </si>
  <si>
    <t>0x804A</t>
  </si>
  <si>
    <t xml:space="preserve">Uint16  u16FreqUnderDelayTime; </t>
  </si>
  <si>
    <t>退出欠频响应曲线延迟时间</t>
  </si>
  <si>
    <t>0x804B</t>
  </si>
  <si>
    <t>Uint16  u16ExitDelayTime; 预留</t>
  </si>
  <si>
    <t>GridV1</t>
  </si>
  <si>
    <t>0x804C</t>
  </si>
  <si>
    <t>float32 f32GridV1</t>
  </si>
  <si>
    <t>有功与电压调节</t>
  </si>
  <si>
    <t>GridV2</t>
  </si>
  <si>
    <t>0x804D</t>
  </si>
  <si>
    <t>float32 f32GridV2</t>
  </si>
  <si>
    <t>GridV3</t>
  </si>
  <si>
    <t>0x804E</t>
  </si>
  <si>
    <t xml:space="preserve">float32 f32GridV3; </t>
  </si>
  <si>
    <t>GridV4</t>
  </si>
  <si>
    <t>0x804F</t>
  </si>
  <si>
    <t xml:space="preserve">float32 f32GridV4; </t>
  </si>
  <si>
    <t>Power1</t>
  </si>
  <si>
    <t>0x8050</t>
  </si>
  <si>
    <t xml:space="preserve">float32 f32Power1; </t>
  </si>
  <si>
    <t>Power2</t>
  </si>
  <si>
    <t>0x8051</t>
  </si>
  <si>
    <t xml:space="preserve">float32 f32Power2; </t>
  </si>
  <si>
    <t>Power3</t>
  </si>
  <si>
    <t>0x8052</t>
  </si>
  <si>
    <t xml:space="preserve">float32 f32Power3; </t>
  </si>
  <si>
    <t>Power4</t>
  </si>
  <si>
    <t>0x8053</t>
  </si>
  <si>
    <t xml:space="preserve">float32 f32Power4; </t>
  </si>
  <si>
    <t>PowerDroop</t>
  </si>
  <si>
    <t>0x8054</t>
  </si>
  <si>
    <t xml:space="preserve">f32PowerDroop; </t>
  </si>
  <si>
    <t>Tau3</t>
  </si>
  <si>
    <t>0x8055</t>
  </si>
  <si>
    <t>1~180</t>
  </si>
  <si>
    <t xml:space="preserve">u16Tau3; </t>
  </si>
  <si>
    <t>ActiveCurveType</t>
  </si>
  <si>
    <t>0x8056</t>
  </si>
  <si>
    <t xml:space="preserve">u16ActiveCurveType; </t>
  </si>
  <si>
    <t>ChargeCurveType</t>
  </si>
  <si>
    <t>0x8057</t>
  </si>
  <si>
    <t xml:space="preserve">u16ChargeCurveType; </t>
  </si>
  <si>
    <t>StepResponse</t>
  </si>
  <si>
    <t>0x8058</t>
  </si>
  <si>
    <t xml:space="preserve">u16StepResponse; </t>
  </si>
  <si>
    <t>ChargeTau3</t>
  </si>
  <si>
    <t>0x8059</t>
  </si>
  <si>
    <t>0~180</t>
  </si>
  <si>
    <t xml:space="preserve">u16ChargeTau3; </t>
  </si>
  <si>
    <t>无功模式设置</t>
  </si>
  <si>
    <t>0x805A</t>
  </si>
  <si>
    <t xml:space="preserve">Uint16  u16SetMode; </t>
  </si>
  <si>
    <t>无功曲线</t>
  </si>
  <si>
    <t>Q_MODE_OFF          (0)
Q_MODE_OVER         (1)
Q_MODE_UNDER        (2)
Q_MODE_WATT_PF      (3)
Q_MODE_Q_VOLT       (4)
Q_MODE_FIX_Q        (5)</t>
  </si>
  <si>
    <t>设置PF值</t>
  </si>
  <si>
    <t>0x805B</t>
  </si>
  <si>
    <t>10~100</t>
  </si>
  <si>
    <t xml:space="preserve">Uint16  u16SetPf; </t>
  </si>
  <si>
    <t>设置固定无功值</t>
  </si>
  <si>
    <t>0x805C</t>
  </si>
  <si>
    <t>300~-300</t>
  </si>
  <si>
    <t xml:space="preserve">float32 f32FixQset; </t>
  </si>
  <si>
    <t>PF上限值</t>
  </si>
  <si>
    <t>0x805D</t>
  </si>
  <si>
    <t>float32 f32PfLimitUp; 预留</t>
  </si>
  <si>
    <t>PF下限值</t>
  </si>
  <si>
    <t>0x805E</t>
  </si>
  <si>
    <t>float32 f32PfLimitDn; 预留</t>
  </si>
  <si>
    <t>最小PF值</t>
  </si>
  <si>
    <t>0x805F</t>
  </si>
  <si>
    <t>float32 f32MinPF; 预留</t>
  </si>
  <si>
    <t>无功功率调节步长</t>
  </si>
  <si>
    <t>0x8060</t>
  </si>
  <si>
    <t>10~60000</t>
  </si>
  <si>
    <t>float32 f32QPowerStep; 预留</t>
  </si>
  <si>
    <t>无功最大值</t>
  </si>
  <si>
    <t>0x8061</t>
  </si>
  <si>
    <t>float32 f32Qmax; 预留</t>
  </si>
  <si>
    <t>固定无功模式下无功最大值</t>
  </si>
  <si>
    <t>0x8062</t>
  </si>
  <si>
    <t>float32 f32FixQ_Qmax; 预留</t>
  </si>
  <si>
    <t>功率下限比值</t>
  </si>
  <si>
    <t>0x8063</t>
  </si>
  <si>
    <t>float32 f32PowerRatioLo; 预留</t>
  </si>
  <si>
    <t>功率上限比值</t>
  </si>
  <si>
    <t>0x8064</t>
  </si>
  <si>
    <t>float32 f32PowerRatioUp; 预留</t>
  </si>
  <si>
    <t>无功缓升缓降使能</t>
  </si>
  <si>
    <t>0x8065</t>
  </si>
  <si>
    <t>Uint16  u16StepResponse; 预留</t>
  </si>
  <si>
    <t>QU模式一阶阶跃响应时间</t>
  </si>
  <si>
    <t>0x8066</t>
  </si>
  <si>
    <t xml:space="preserve">Uint16  u16Tau3; </t>
  </si>
  <si>
    <t>固定无功模式下一阶阶跃响应时间</t>
  </si>
  <si>
    <t>0x8067</t>
  </si>
  <si>
    <t xml:space="preserve">Uint16  u16FixQTau3; </t>
  </si>
  <si>
    <t>进入曲线电压百分比</t>
  </si>
  <si>
    <t>0x8068</t>
  </si>
  <si>
    <t>100~110</t>
  </si>
  <si>
    <t xml:space="preserve">Uint16  u16EntryVolt; </t>
  </si>
  <si>
    <t>CosPhi曲线</t>
  </si>
  <si>
    <t>退出曲线电压</t>
  </si>
  <si>
    <t>0x8069</t>
  </si>
  <si>
    <t>90~100</t>
  </si>
  <si>
    <t xml:space="preserve">Uint16  u16ExitVolt; </t>
  </si>
  <si>
    <t>PF上限值时候的功率比值</t>
  </si>
  <si>
    <t>0x806A</t>
  </si>
  <si>
    <t>Uint16  u16PowerRatio1; 预留</t>
  </si>
  <si>
    <t>PF下限值时候的功率比值</t>
  </si>
  <si>
    <t>0x806B</t>
  </si>
  <si>
    <t>Uint16  u16PowerRatio2; 预留</t>
  </si>
  <si>
    <t>CapPowerRatio1</t>
  </si>
  <si>
    <t>0x806C</t>
  </si>
  <si>
    <t xml:space="preserve">Uint16  u16CapPowerRatio1; </t>
  </si>
  <si>
    <t>CapPowerRatio2</t>
  </si>
  <si>
    <t>0x806D</t>
  </si>
  <si>
    <t xml:space="preserve">Uint16  u16CapPowerRatio2; </t>
  </si>
  <si>
    <t>IndPowerRatio3</t>
  </si>
  <si>
    <t>0x806E</t>
  </si>
  <si>
    <t xml:space="preserve">Uint16  u16IndPowerRatio3; </t>
  </si>
  <si>
    <t>IndPowerRatio4</t>
  </si>
  <si>
    <t>0x806F</t>
  </si>
  <si>
    <t xml:space="preserve">Uint16  u16IndPowerRatio4; </t>
  </si>
  <si>
    <t>CapPF1</t>
  </si>
  <si>
    <t>0x8070</t>
  </si>
  <si>
    <r>
      <rPr>
        <sz val="11"/>
        <rFont val="等线"/>
        <charset val="134"/>
        <scheme val="minor"/>
      </rPr>
      <t>0.8~1</t>
    </r>
  </si>
  <si>
    <t xml:space="preserve">float32 f32CapPF1; </t>
  </si>
  <si>
    <t>CapPF2</t>
  </si>
  <si>
    <t>0x8071</t>
  </si>
  <si>
    <t xml:space="preserve">float32 f32CapPF2; </t>
  </si>
  <si>
    <t>IndPF3</t>
  </si>
  <si>
    <t>0x8072</t>
  </si>
  <si>
    <t xml:space="preserve">float32 f32IndPF3; </t>
  </si>
  <si>
    <t>IndPF4</t>
  </si>
  <si>
    <t>0x8073</t>
  </si>
  <si>
    <t xml:space="preserve">float32 f32IndPF4; </t>
  </si>
  <si>
    <t>CosPhi曲线类型</t>
  </si>
  <si>
    <t>0x8074</t>
  </si>
  <si>
    <t>Uint16  u16CurveType; 预留</t>
  </si>
  <si>
    <t>QU响应曲线类型</t>
  </si>
  <si>
    <t>0x8075</t>
  </si>
  <si>
    <t>QU曲线</t>
  </si>
  <si>
    <t>V1电压值</t>
  </si>
  <si>
    <t>0x8076</t>
  </si>
  <si>
    <t>195.5~253</t>
  </si>
  <si>
    <t xml:space="preserve">float32 f32GridV1; </t>
  </si>
  <si>
    <t>V2电压值</t>
  </si>
  <si>
    <t>0x8077</t>
  </si>
  <si>
    <t xml:space="preserve">float32 f32GridV2; </t>
  </si>
  <si>
    <t>V3电压值</t>
  </si>
  <si>
    <t>0x8078</t>
  </si>
  <si>
    <t>195.5~265</t>
  </si>
  <si>
    <t>V4电压值</t>
  </si>
  <si>
    <t>0x8079</t>
  </si>
  <si>
    <t>启动电压上限</t>
  </si>
  <si>
    <t>0x807A</t>
  </si>
  <si>
    <t>100~120</t>
  </si>
  <si>
    <t>float32 f32VrateUp; 预留</t>
  </si>
  <si>
    <t>启动电压下限</t>
  </si>
  <si>
    <t>0x807B</t>
  </si>
  <si>
    <t>80~100</t>
  </si>
  <si>
    <t xml:space="preserve">float32 f32VrateLo; </t>
  </si>
  <si>
    <t>小于V1时无功比值（与有功相比）</t>
  </si>
  <si>
    <t>0x807C</t>
  </si>
  <si>
    <t>0~60</t>
  </si>
  <si>
    <t xml:space="preserve">float32 f32Ratio1; </t>
  </si>
  <si>
    <t>V2点的无功比值（与有功相比）</t>
  </si>
  <si>
    <t>0x807D</t>
  </si>
  <si>
    <t xml:space="preserve">float32 f32Ratio2; </t>
  </si>
  <si>
    <t>V3点的无功比值（与有功相比）</t>
  </si>
  <si>
    <t>0x807E</t>
  </si>
  <si>
    <t xml:space="preserve">float32 f32Ratio3; </t>
  </si>
  <si>
    <t>大于V4点出的无功比值（与有功相比）</t>
  </si>
  <si>
    <t>0x807F</t>
  </si>
  <si>
    <t xml:space="preserve">float32 f32Ratio4; </t>
  </si>
  <si>
    <t>P-Q滞环in</t>
  </si>
  <si>
    <t>0x8080</t>
  </si>
  <si>
    <t xml:space="preserve">float32 f32LockIn; </t>
  </si>
  <si>
    <t>P-Q滞环out</t>
  </si>
  <si>
    <t>0x8081</t>
  </si>
  <si>
    <t xml:space="preserve">float32 f32LockOut; </t>
  </si>
  <si>
    <t>无功响应时间常数</t>
  </si>
  <si>
    <t>0x8082</t>
  </si>
  <si>
    <t>QU曲线上下移动系数</t>
  </si>
  <si>
    <t>0x8083</t>
  </si>
  <si>
    <t>100~-100</t>
  </si>
  <si>
    <t xml:space="preserve">int16   s16KValue; </t>
  </si>
  <si>
    <t>使能P-Q滞回曲线</t>
  </si>
  <si>
    <t>0x8084</t>
  </si>
  <si>
    <t xml:space="preserve">int16   s16QuLockEnable; </t>
  </si>
  <si>
    <t>QU曲线响应延时</t>
  </si>
  <si>
    <t>0x8085</t>
  </si>
  <si>
    <t xml:space="preserve">Uint16  u16Delay; </t>
  </si>
  <si>
    <t>大直流分量快速保护值</t>
  </si>
  <si>
    <t>0x8086</t>
  </si>
  <si>
    <t>DCI测试</t>
  </si>
  <si>
    <t>小DCI慢速保护值</t>
  </si>
  <si>
    <t>0x8087</t>
  </si>
  <si>
    <t>快速保护时间</t>
  </si>
  <si>
    <t>0x8088</t>
  </si>
  <si>
    <t>慢速保护时间</t>
  </si>
  <si>
    <t>0x8089</t>
  </si>
  <si>
    <t>恢复电流</t>
  </si>
  <si>
    <t>0x808A</t>
  </si>
  <si>
    <t>恢复时间</t>
  </si>
  <si>
    <t>0x808B</t>
  </si>
  <si>
    <t>高穿进入电压</t>
  </si>
  <si>
    <t>0x808C</t>
  </si>
  <si>
    <t>230*1.2</t>
  </si>
  <si>
    <t xml:space="preserve">float32 f32EntryVoltUp; </t>
  </si>
  <si>
    <t>低穿进入电压</t>
  </si>
  <si>
    <t>0x808D</t>
  </si>
  <si>
    <t>230*0.5</t>
  </si>
  <si>
    <t>4~230</t>
  </si>
  <si>
    <t xml:space="preserve">float32 f32EntryVoltDn; </t>
  </si>
  <si>
    <t>高穿恢复电压</t>
  </si>
  <si>
    <t>0x808E</t>
  </si>
  <si>
    <t xml:space="preserve">float32 f32RecoverVoltUp; </t>
  </si>
  <si>
    <t>低穿恢复电压</t>
  </si>
  <si>
    <t>0x808F</t>
  </si>
  <si>
    <t xml:space="preserve">float32 f32RecoverVoltDn; </t>
  </si>
  <si>
    <t>高低穿持续时间</t>
  </si>
  <si>
    <t>0x8090</t>
  </si>
  <si>
    <t>1~60000</t>
  </si>
  <si>
    <t xml:space="preserve">Uint32  u32FrtVolFaultTim; </t>
  </si>
  <si>
    <t>安规内部功能使能位</t>
  </si>
  <si>
    <t>0x8091</t>
  </si>
  <si>
    <t>bSoftStart:1;
bVac:      1;
bVac10Min: 1;
bFac:      1;
bFacRocof: 1;
bRPBF:     1;
bIPBF:     1;
bPu:       1;
bQu:       1;
bCosPhi:   1;
bFrt:      1;
bDRM:      1;
bIsland:   1;
bSelfTest: 1;
bLineVolt: 1; 
Uint32 Rev:       17;</t>
  </si>
  <si>
    <t>0x8092</t>
  </si>
  <si>
    <t>安规模式使能</t>
  </si>
  <si>
    <t>0x8093</t>
  </si>
  <si>
    <t>同内部功能，按位操作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</si>
</sst>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5">
    <font>
      <sz val="11"/>
      <color theme="1"/>
      <name val="等线"/>
      <charset val="134"/>
      <scheme val="minor"/>
    </font>
    <font>
      <b/>
      <sz val="11"/>
      <name val="宋体"/>
      <charset val="134"/>
    </font>
    <font>
      <sz val="11"/>
      <name val="宋体"/>
      <charset val="134"/>
    </font>
    <font>
      <sz val="11"/>
      <name val="等线"/>
      <charset val="134"/>
      <scheme val="minor"/>
    </font>
    <font>
      <b/>
      <sz val="11"/>
      <color theme="1"/>
      <name val="宋体"/>
      <charset val="134"/>
    </font>
    <font>
      <sz val="11"/>
      <color rgb="FF000000"/>
      <name val="宋体"/>
      <charset val="134"/>
    </font>
    <font>
      <sz val="11"/>
      <color rgb="FF000000"/>
      <name val="Times New Roman"/>
      <charset val="134"/>
    </font>
    <font>
      <sz val="11"/>
      <color theme="1"/>
      <name val="宋体"/>
      <charset val="134"/>
    </font>
    <font>
      <sz val="11"/>
      <color rgb="FFFF0000"/>
      <name val="宋体"/>
      <charset val="134"/>
    </font>
    <font>
      <sz val="11"/>
      <color rgb="FF0563C1"/>
      <name val="宋体"/>
      <charset val="134"/>
    </font>
    <font>
      <sz val="11"/>
      <name val="Times New Roman"/>
      <charset val="134"/>
    </font>
    <font>
      <b/>
      <sz val="11"/>
      <color rgb="FFFF0000"/>
      <name val="等线"/>
      <charset val="134"/>
      <scheme val="minor"/>
    </font>
    <font>
      <sz val="10"/>
      <color rgb="FF000000"/>
      <name val="宋体"/>
      <charset val="134"/>
    </font>
    <font>
      <sz val="10"/>
      <name val="宋体"/>
      <charset val="134"/>
    </font>
    <font>
      <sz val="11"/>
      <name val="TimesNewRomanPSMT"/>
      <charset val="134"/>
    </font>
    <font>
      <sz val="10"/>
      <color rgb="FF000000"/>
      <name val="Times New Roman"/>
      <charset val="134"/>
    </font>
    <font>
      <b/>
      <sz val="11"/>
      <color rgb="FF000000"/>
      <name val="宋体"/>
      <charset val="134"/>
    </font>
    <font>
      <sz val="10"/>
      <color theme="1"/>
      <name val="宋体"/>
      <charset val="134"/>
    </font>
    <font>
      <sz val="11"/>
      <color rgb="FF000000"/>
      <name val="TimesNewRomanPSMT"/>
      <charset val="134"/>
    </font>
    <font>
      <sz val="11"/>
      <color rgb="FF000000"/>
      <name val="SimSun"/>
      <charset val="134"/>
    </font>
    <font>
      <b/>
      <sz val="9"/>
      <color rgb="FF000000"/>
      <name val="TimesNewRomanPS-BoldMT"/>
      <charset val="134"/>
    </font>
    <font>
      <sz val="9"/>
      <color rgb="FF000000"/>
      <name val="TimesNewRomanPSMT"/>
      <charset val="134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6"/>
      <color rgb="FFFF0000"/>
      <name val="等线"/>
      <charset val="134"/>
      <scheme val="minor"/>
    </font>
    <font>
      <sz val="11"/>
      <color theme="1"/>
      <name val="Calibri"/>
      <charset val="134"/>
    </font>
    <font>
      <sz val="11"/>
      <name val="SimSun"/>
      <charset val="134"/>
    </font>
  </fonts>
  <fills count="43">
    <fill>
      <patternFill patternType="none"/>
    </fill>
    <fill>
      <patternFill patternType="gray125"/>
    </fill>
    <fill>
      <patternFill patternType="solid">
        <fgColor theme="0" tint="-0.14975432599871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78484450819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3" borderId="8" applyNumberFormat="0" applyAlignment="0" applyProtection="0">
      <alignment vertical="center"/>
    </xf>
    <xf numFmtId="0" fontId="32" fillId="14" borderId="9" applyNumberFormat="0" applyAlignment="0" applyProtection="0">
      <alignment vertical="center"/>
    </xf>
    <xf numFmtId="0" fontId="33" fillId="14" borderId="8" applyNumberFormat="0" applyAlignment="0" applyProtection="0">
      <alignment vertical="center"/>
    </xf>
    <xf numFmtId="0" fontId="34" fillId="15" borderId="10" applyNumberFormat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</cellStyleXfs>
  <cellXfs count="1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0" xfId="0" applyFont="1" applyFill="1"/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4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left" vertical="center" wrapText="1"/>
    </xf>
    <xf numFmtId="0" fontId="5" fillId="7" borderId="0" xfId="0" applyFont="1" applyFill="1" applyAlignment="1">
      <alignment horizontal="center" vertical="center" wrapText="1"/>
    </xf>
    <xf numFmtId="0" fontId="0" fillId="8" borderId="0" xfId="0" applyFill="1"/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 wrapText="1"/>
    </xf>
    <xf numFmtId="0" fontId="0" fillId="0" borderId="0" xfId="0" applyFill="1"/>
    <xf numFmtId="0" fontId="6" fillId="0" borderId="0" xfId="0" applyFont="1" applyFill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5" fillId="4" borderId="0" xfId="0" applyFont="1" applyFill="1" applyAlignment="1">
      <alignment horizontal="left" vertical="center" wrapText="1"/>
    </xf>
    <xf numFmtId="0" fontId="5" fillId="8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4" fillId="9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7" fillId="6" borderId="0" xfId="0" applyFont="1" applyFill="1" applyAlignment="1">
      <alignment horizontal="left" vertical="center"/>
    </xf>
    <xf numFmtId="0" fontId="7" fillId="0" borderId="0" xfId="0" applyFont="1" applyAlignment="1">
      <alignment horizontal="left"/>
    </xf>
    <xf numFmtId="0" fontId="5" fillId="6" borderId="0" xfId="0" applyFont="1" applyFill="1" applyAlignment="1">
      <alignment horizontal="left" vertical="center"/>
    </xf>
    <xf numFmtId="0" fontId="7" fillId="6" borderId="0" xfId="0" applyFont="1" applyFill="1" applyAlignment="1">
      <alignment horizontal="left" vertical="center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left" vertical="center"/>
    </xf>
    <xf numFmtId="0" fontId="12" fillId="0" borderId="0" xfId="0" applyFont="1" applyAlignment="1">
      <alignment wrapText="1"/>
    </xf>
    <xf numFmtId="0" fontId="0" fillId="6" borderId="0" xfId="0" applyFill="1" applyAlignment="1">
      <alignment horizontal="left"/>
    </xf>
    <xf numFmtId="0" fontId="7" fillId="6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/>
    </xf>
    <xf numFmtId="0" fontId="1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5" borderId="0" xfId="0" applyFont="1" applyFill="1" applyAlignment="1">
      <alignment horizontal="center" vertical="center" wrapText="1"/>
    </xf>
    <xf numFmtId="0" fontId="5" fillId="10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5" fillId="4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5" fillId="11" borderId="0" xfId="0" applyFont="1" applyFill="1" applyAlignment="1">
      <alignment horizontal="center" vertical="center" wrapText="1"/>
    </xf>
    <xf numFmtId="0" fontId="5" fillId="11" borderId="0" xfId="0" applyFont="1" applyFill="1" applyAlignment="1">
      <alignment horizontal="left" vertical="center" wrapText="1"/>
    </xf>
    <xf numFmtId="0" fontId="7" fillId="9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9" borderId="0" xfId="0" applyFont="1" applyFill="1" applyAlignment="1">
      <alignment horizontal="left" vertical="center"/>
    </xf>
    <xf numFmtId="0" fontId="0" fillId="9" borderId="0" xfId="0" applyFill="1"/>
    <xf numFmtId="0" fontId="0" fillId="9" borderId="0" xfId="0" applyFill="1" applyAlignment="1">
      <alignment vertical="center"/>
    </xf>
    <xf numFmtId="0" fontId="8" fillId="6" borderId="0" xfId="0" applyFont="1" applyFill="1" applyAlignment="1">
      <alignment horizontal="left" vertical="center" wrapText="1"/>
    </xf>
    <xf numFmtId="0" fontId="0" fillId="6" borderId="0" xfId="0" applyFill="1" applyAlignment="1">
      <alignment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0" fillId="6" borderId="0" xfId="0" applyFont="1" applyFill="1" applyAlignment="1">
      <alignment vertical="center"/>
    </xf>
    <xf numFmtId="0" fontId="7" fillId="0" borderId="0" xfId="0" applyFont="1"/>
    <xf numFmtId="0" fontId="15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6" fillId="5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6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0" fillId="0" borderId="0" xfId="0" applyFont="1"/>
    <xf numFmtId="0" fontId="21" fillId="0" borderId="0" xfId="0" applyFont="1"/>
    <xf numFmtId="0" fontId="7" fillId="8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left" vertical="center" wrapText="1"/>
    </xf>
    <xf numFmtId="0" fontId="7" fillId="8" borderId="0" xfId="0" applyFont="1" applyFill="1" applyAlignment="1">
      <alignment vertical="center"/>
    </xf>
    <xf numFmtId="0" fontId="7" fillId="8" borderId="0" xfId="0" applyFont="1" applyFill="1" applyAlignment="1">
      <alignment horizontal="left" vertical="center"/>
    </xf>
    <xf numFmtId="0" fontId="6" fillId="0" borderId="0" xfId="0" applyFont="1" applyAlignment="1">
      <alignment vertical="center" wrapText="1"/>
    </xf>
    <xf numFmtId="0" fontId="22" fillId="0" borderId="0" xfId="0" applyFont="1" applyAlignment="1">
      <alignment horizontal="center" wrapText="1"/>
    </xf>
    <xf numFmtId="0" fontId="5" fillId="0" borderId="0" xfId="0" applyFont="1" applyAlignment="1" quotePrefix="1">
      <alignment horizontal="center" vertical="center" wrapText="1"/>
    </xf>
    <xf numFmtId="0" fontId="5" fillId="0" borderId="0" xfId="0" applyFont="1" applyAlignment="1" quotePrefix="1">
      <alignment horizontal="left" vertical="center" wrapText="1"/>
    </xf>
    <xf numFmtId="0" fontId="7" fillId="0" borderId="0" xfId="0" applyFont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workbookViewId="0">
      <selection activeCell="B51" sqref="B51"/>
    </sheetView>
  </sheetViews>
  <sheetFormatPr defaultColWidth="9" defaultRowHeight="14" outlineLevelRow="7"/>
  <cols>
    <col min="1" max="1" width="9.08333333333333" customWidth="1"/>
  </cols>
  <sheetData>
    <row r="1" spans="1:16">
      <c r="A1" s="11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</row>
    <row r="2" spans="1:16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</row>
    <row r="3" spans="1:16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</row>
    <row r="4" ht="7.15" customHeight="1" spans="1:16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</row>
    <row r="5" hidden="1" spans="1:16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</row>
    <row r="6" ht="31.9" customHeight="1" spans="1:16">
      <c r="A6">
        <v>1</v>
      </c>
      <c r="B6" s="47" t="s">
        <v>1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</row>
    <row r="7" ht="29.25" customHeight="1" spans="1:16">
      <c r="A7">
        <v>2</v>
      </c>
      <c r="B7" s="47" t="s">
        <v>2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</row>
    <row r="8" ht="27" customHeight="1" spans="1:16">
      <c r="A8">
        <v>3</v>
      </c>
      <c r="B8" s="47" t="s">
        <v>3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</row>
  </sheetData>
  <mergeCells count="4">
    <mergeCell ref="B6:O6"/>
    <mergeCell ref="B7:P7"/>
    <mergeCell ref="B8:P8"/>
    <mergeCell ref="A1:P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zoomScale="130" zoomScaleNormal="130" workbookViewId="0">
      <selection activeCell="B51" sqref="B51"/>
    </sheetView>
  </sheetViews>
  <sheetFormatPr defaultColWidth="8.66666666666667" defaultRowHeight="14"/>
  <cols>
    <col min="1" max="1" width="5.5" style="100" customWidth="1"/>
    <col min="2" max="2" width="15.75" style="59" customWidth="1"/>
    <col min="3" max="4" width="19.9166666666667" style="100" customWidth="1"/>
    <col min="5" max="5" width="15.4166666666667" style="100" customWidth="1"/>
    <col min="6" max="6" width="12.75" style="100" customWidth="1"/>
    <col min="7" max="7" width="8.83333333333333" style="46" customWidth="1"/>
    <col min="8" max="8" width="17.6666666666667" style="59" customWidth="1"/>
    <col min="9" max="16384" width="8.66666666666667" style="94"/>
  </cols>
  <sheetData>
    <row r="1" ht="26" customHeight="1" spans="1:15">
      <c r="A1" s="21" t="s">
        <v>4</v>
      </c>
      <c r="B1" s="21" t="s">
        <v>5</v>
      </c>
      <c r="C1" s="21" t="s">
        <v>6</v>
      </c>
      <c r="D1" s="97" t="s">
        <v>7</v>
      </c>
      <c r="E1" s="21" t="s">
        <v>8</v>
      </c>
      <c r="F1" s="21" t="s">
        <v>9</v>
      </c>
      <c r="G1" s="21" t="s">
        <v>10</v>
      </c>
      <c r="H1" s="21" t="s">
        <v>11</v>
      </c>
    </row>
    <row r="2" ht="51" customHeight="1" spans="1:15">
      <c r="A2" s="22">
        <v>1</v>
      </c>
      <c r="B2" s="23" t="s">
        <v>12</v>
      </c>
      <c r="C2" s="22" t="s">
        <v>13</v>
      </c>
      <c r="D2" s="22" t="s">
        <v>14</v>
      </c>
      <c r="E2" s="22" t="s">
        <v>15</v>
      </c>
      <c r="F2" s="22" t="s">
        <v>16</v>
      </c>
      <c r="G2" s="46">
        <v>0</v>
      </c>
      <c r="H2" s="23" t="s">
        <v>17</v>
      </c>
    </row>
    <row r="3" ht="50.5" customHeight="1" spans="1:15">
      <c r="A3" s="22">
        <v>2</v>
      </c>
      <c r="B3" s="23" t="s">
        <v>18</v>
      </c>
      <c r="C3" s="22" t="s">
        <v>13</v>
      </c>
      <c r="D3" s="22" t="s">
        <v>19</v>
      </c>
      <c r="E3" s="22" t="s">
        <v>15</v>
      </c>
      <c r="F3" s="22" t="s">
        <v>16</v>
      </c>
      <c r="G3" s="46">
        <v>0</v>
      </c>
      <c r="H3" s="23" t="s">
        <v>20</v>
      </c>
    </row>
    <row r="4" ht="55" customHeight="1" spans="1:15">
      <c r="A4" s="22">
        <v>3</v>
      </c>
      <c r="B4" s="23" t="s">
        <v>21</v>
      </c>
      <c r="C4" s="22" t="s">
        <v>13</v>
      </c>
      <c r="D4" s="22" t="s">
        <v>22</v>
      </c>
      <c r="E4" s="22" t="s">
        <v>15</v>
      </c>
      <c r="F4" s="22" t="s">
        <v>16</v>
      </c>
      <c r="G4" s="46">
        <v>0</v>
      </c>
      <c r="H4" s="23" t="s">
        <v>23</v>
      </c>
    </row>
    <row r="5" ht="64" customHeight="1" spans="1:15">
      <c r="A5" s="39">
        <v>4</v>
      </c>
      <c r="B5" s="75" t="s">
        <v>24</v>
      </c>
      <c r="C5" s="22" t="s">
        <v>13</v>
      </c>
      <c r="D5" s="22" t="s">
        <v>25</v>
      </c>
      <c r="E5" s="39" t="s">
        <v>15</v>
      </c>
      <c r="F5" s="22" t="s">
        <v>16</v>
      </c>
      <c r="G5" s="84">
        <v>0</v>
      </c>
      <c r="H5" s="23" t="s">
        <v>26</v>
      </c>
      <c r="I5" s="46"/>
    </row>
    <row r="6" ht="64" customHeight="1" spans="1:15">
      <c r="A6" s="39">
        <v>5</v>
      </c>
      <c r="B6" s="75" t="s">
        <v>27</v>
      </c>
      <c r="C6" s="22" t="s">
        <v>13</v>
      </c>
      <c r="D6" s="22" t="s">
        <v>28</v>
      </c>
      <c r="E6" s="39" t="s">
        <v>15</v>
      </c>
      <c r="F6" s="22" t="s">
        <v>16</v>
      </c>
      <c r="G6" s="84">
        <v>0</v>
      </c>
      <c r="H6" s="23" t="s">
        <v>29</v>
      </c>
      <c r="I6" s="46"/>
    </row>
    <row r="7" ht="55" customHeight="1" spans="1:15">
      <c r="A7" s="22">
        <v>6</v>
      </c>
      <c r="B7" s="23" t="s">
        <v>30</v>
      </c>
      <c r="C7" s="22" t="s">
        <v>13</v>
      </c>
      <c r="D7" s="22" t="s">
        <v>31</v>
      </c>
      <c r="E7" s="22" t="s">
        <v>15</v>
      </c>
      <c r="F7" s="22" t="s">
        <v>16</v>
      </c>
      <c r="G7" s="46">
        <v>0</v>
      </c>
      <c r="H7" s="23" t="s">
        <v>32</v>
      </c>
      <c r="I7" s="46"/>
    </row>
    <row r="8" ht="55" customHeight="1" spans="1:15">
      <c r="A8" s="22">
        <v>7</v>
      </c>
      <c r="B8" s="23" t="s">
        <v>33</v>
      </c>
      <c r="C8" s="22" t="s">
        <v>13</v>
      </c>
      <c r="D8" s="22" t="s">
        <v>34</v>
      </c>
      <c r="E8" s="22" t="s">
        <v>15</v>
      </c>
      <c r="F8" s="22" t="s">
        <v>16</v>
      </c>
      <c r="G8" s="46">
        <v>0</v>
      </c>
      <c r="H8" s="23" t="s">
        <v>35</v>
      </c>
    </row>
    <row r="9" ht="56.5" customHeight="1" spans="1:15">
      <c r="A9" s="22">
        <v>8</v>
      </c>
      <c r="B9" s="23" t="s">
        <v>36</v>
      </c>
      <c r="C9" s="22" t="s">
        <v>13</v>
      </c>
      <c r="D9" s="22" t="s">
        <v>37</v>
      </c>
      <c r="E9" s="22" t="s">
        <v>15</v>
      </c>
      <c r="F9" s="22" t="s">
        <v>16</v>
      </c>
      <c r="G9" s="46">
        <v>0</v>
      </c>
      <c r="H9" s="23" t="s">
        <v>35</v>
      </c>
      <c r="O9" s="100"/>
    </row>
    <row r="10" ht="26.5" customHeight="1" spans="1:15">
      <c r="A10" s="22">
        <v>9</v>
      </c>
      <c r="B10" s="23" t="s">
        <v>38</v>
      </c>
      <c r="C10" s="22" t="s">
        <v>13</v>
      </c>
      <c r="D10" s="22" t="s">
        <v>39</v>
      </c>
      <c r="E10" s="22" t="s">
        <v>15</v>
      </c>
      <c r="F10" s="22" t="s">
        <v>16</v>
      </c>
      <c r="G10" s="46">
        <v>1</v>
      </c>
      <c r="H10" s="23" t="s">
        <v>38</v>
      </c>
      <c r="I10" s="116"/>
    </row>
    <row r="11" spans="1:15">
      <c r="A11" s="22">
        <v>10</v>
      </c>
      <c r="B11" s="23" t="s">
        <v>38</v>
      </c>
      <c r="C11" s="22" t="s">
        <v>13</v>
      </c>
      <c r="D11" s="22" t="s">
        <v>40</v>
      </c>
      <c r="E11" s="22" t="s">
        <v>15</v>
      </c>
      <c r="F11" s="22" t="s">
        <v>16</v>
      </c>
      <c r="G11" s="46">
        <v>2</v>
      </c>
      <c r="H11" s="23" t="s">
        <v>38</v>
      </c>
    </row>
    <row r="12" spans="1:15">
      <c r="A12" s="22">
        <v>11</v>
      </c>
      <c r="B12" s="23" t="s">
        <v>38</v>
      </c>
      <c r="C12" s="22" t="s">
        <v>13</v>
      </c>
      <c r="D12" s="22" t="s">
        <v>41</v>
      </c>
      <c r="E12" s="22" t="s">
        <v>15</v>
      </c>
      <c r="F12" s="22" t="s">
        <v>16</v>
      </c>
      <c r="G12" s="46">
        <v>3</v>
      </c>
      <c r="H12" s="23" t="s">
        <v>38</v>
      </c>
    </row>
    <row r="13" spans="1:15">
      <c r="A13" s="22">
        <v>12</v>
      </c>
      <c r="B13" s="23" t="s">
        <v>38</v>
      </c>
      <c r="C13" s="22" t="s">
        <v>13</v>
      </c>
      <c r="D13" s="22" t="s">
        <v>42</v>
      </c>
      <c r="E13" s="22" t="s">
        <v>15</v>
      </c>
      <c r="F13" s="22" t="s">
        <v>16</v>
      </c>
      <c r="G13" s="46">
        <v>4</v>
      </c>
      <c r="H13" s="23" t="s">
        <v>38</v>
      </c>
    </row>
    <row r="14" spans="1:15">
      <c r="A14" s="22">
        <v>13</v>
      </c>
      <c r="B14" s="23" t="s">
        <v>38</v>
      </c>
      <c r="C14" s="22" t="s">
        <v>13</v>
      </c>
      <c r="D14" s="22" t="s">
        <v>43</v>
      </c>
      <c r="E14" s="22" t="s">
        <v>15</v>
      </c>
      <c r="F14" s="22" t="s">
        <v>16</v>
      </c>
      <c r="G14" s="46">
        <v>5</v>
      </c>
      <c r="H14" s="23" t="s">
        <v>38</v>
      </c>
    </row>
    <row r="15" spans="1:15">
      <c r="A15" s="22">
        <v>14</v>
      </c>
      <c r="B15" s="23" t="s">
        <v>38</v>
      </c>
      <c r="C15" s="22" t="s">
        <v>13</v>
      </c>
      <c r="D15" s="22" t="s">
        <v>44</v>
      </c>
      <c r="E15" s="22" t="s">
        <v>15</v>
      </c>
      <c r="F15" s="22" t="s">
        <v>16</v>
      </c>
      <c r="G15" s="46">
        <v>6</v>
      </c>
      <c r="H15" s="23" t="s">
        <v>38</v>
      </c>
    </row>
    <row r="16" spans="1:15">
      <c r="A16" s="22">
        <v>15</v>
      </c>
      <c r="B16" s="23" t="s">
        <v>38</v>
      </c>
      <c r="C16" s="22" t="s">
        <v>13</v>
      </c>
      <c r="D16" s="22" t="s">
        <v>45</v>
      </c>
      <c r="E16" s="22" t="s">
        <v>15</v>
      </c>
      <c r="F16" s="22" t="s">
        <v>16</v>
      </c>
      <c r="G16" s="46">
        <v>7</v>
      </c>
      <c r="H16" s="23" t="s">
        <v>38</v>
      </c>
    </row>
    <row r="17" spans="1:8">
      <c r="A17" s="22">
        <v>16</v>
      </c>
      <c r="B17" s="23" t="s">
        <v>38</v>
      </c>
      <c r="C17" s="22" t="s">
        <v>13</v>
      </c>
      <c r="D17" s="22" t="s">
        <v>46</v>
      </c>
      <c r="E17" s="22" t="s">
        <v>15</v>
      </c>
      <c r="F17" s="22" t="s">
        <v>16</v>
      </c>
      <c r="G17" s="46">
        <v>8</v>
      </c>
      <c r="H17" s="23" t="s">
        <v>38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H203"/>
  <sheetViews>
    <sheetView zoomScale="130" zoomScaleNormal="130" topLeftCell="B1" workbookViewId="0">
      <pane ySplit="1" topLeftCell="A60" activePane="bottomLeft" state="frozen"/>
      <selection/>
      <selection pane="bottomLeft" activeCell="J60" sqref="J60"/>
    </sheetView>
  </sheetViews>
  <sheetFormatPr defaultColWidth="9" defaultRowHeight="14"/>
  <cols>
    <col min="1" max="1" width="15.3333333333333" style="96" customWidth="1"/>
    <col min="2" max="2" width="8.25" style="96" customWidth="1"/>
    <col min="3" max="3" width="24.6666666666667" style="54" customWidth="1"/>
    <col min="4" max="4" width="10.6666666666667" style="46" customWidth="1"/>
    <col min="5" max="5" width="9.41666666666667" style="46" customWidth="1"/>
    <col min="6" max="6" width="11.0833333333333" style="46" customWidth="1"/>
    <col min="7" max="7" width="17.8333333333333" style="46" customWidth="1"/>
    <col min="8" max="8" width="10.1666666666667" style="46" customWidth="1"/>
    <col min="9" max="9" width="11.9166666666667" style="46" customWidth="1"/>
    <col min="10" max="10" width="17.8333333333333" style="54" customWidth="1"/>
    <col min="11" max="11" width="15.5833333333333" style="96" customWidth="1"/>
    <col min="12" max="16381" width="8.66666666666667" style="96"/>
    <col min="16382" max="16384" width="9" style="96"/>
  </cols>
  <sheetData>
    <row r="1" ht="26" customHeight="1" spans="1:190">
      <c r="A1" s="20" t="s">
        <v>47</v>
      </c>
      <c r="B1" s="20" t="s">
        <v>4</v>
      </c>
      <c r="C1" s="20" t="s">
        <v>5</v>
      </c>
      <c r="D1" s="20" t="s">
        <v>6</v>
      </c>
      <c r="E1" s="20" t="s">
        <v>8</v>
      </c>
      <c r="F1" s="20" t="s">
        <v>9</v>
      </c>
      <c r="G1" s="97" t="s">
        <v>48</v>
      </c>
      <c r="H1" s="97" t="s">
        <v>10</v>
      </c>
      <c r="I1" s="97" t="s">
        <v>49</v>
      </c>
      <c r="J1" s="113" t="s">
        <v>11</v>
      </c>
      <c r="K1" s="20" t="s">
        <v>50</v>
      </c>
    </row>
    <row r="2" s="94" customFormat="1" ht="42" spans="1:190">
      <c r="A2" s="22"/>
      <c r="B2" s="22">
        <v>1</v>
      </c>
      <c r="C2" s="23" t="s">
        <v>51</v>
      </c>
      <c r="D2" s="22" t="str">
        <f t="shared" ref="D2:D33" si="0">CONCATENATE("0x",DEC2HEX((B2)+4095,4))</f>
        <v>0x1000</v>
      </c>
      <c r="E2" s="22" t="s">
        <v>15</v>
      </c>
      <c r="F2" s="22" t="s">
        <v>52</v>
      </c>
      <c r="G2" s="22" t="s">
        <v>53</v>
      </c>
      <c r="H2" s="22">
        <v>0</v>
      </c>
      <c r="I2" s="22">
        <v>1</v>
      </c>
      <c r="J2" s="23" t="s">
        <v>54</v>
      </c>
      <c r="K2" s="22" t="s">
        <v>55</v>
      </c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96"/>
      <c r="DE2" s="96"/>
      <c r="DF2" s="96"/>
      <c r="DG2" s="96"/>
      <c r="DH2" s="96"/>
      <c r="DI2" s="96"/>
      <c r="DJ2" s="96"/>
      <c r="DK2" s="96"/>
      <c r="DL2" s="96"/>
      <c r="DM2" s="96"/>
      <c r="DN2" s="96"/>
      <c r="DO2" s="96"/>
      <c r="DP2" s="96"/>
      <c r="DQ2" s="96"/>
      <c r="DR2" s="96"/>
      <c r="DS2" s="96"/>
      <c r="DT2" s="96"/>
      <c r="DU2" s="96"/>
      <c r="DV2" s="96"/>
      <c r="DW2" s="96"/>
      <c r="DX2" s="96"/>
      <c r="DY2" s="96"/>
      <c r="DZ2" s="96"/>
      <c r="EA2" s="96"/>
      <c r="EB2" s="96"/>
      <c r="EC2" s="96"/>
      <c r="ED2" s="96"/>
      <c r="EE2" s="96"/>
      <c r="EF2" s="96"/>
      <c r="EG2" s="96"/>
      <c r="EH2" s="96"/>
      <c r="EI2" s="96"/>
      <c r="EJ2" s="96"/>
      <c r="EK2" s="96"/>
      <c r="EL2" s="96"/>
      <c r="EM2" s="96"/>
      <c r="EN2" s="96"/>
      <c r="EO2" s="96"/>
      <c r="EP2" s="96"/>
      <c r="EQ2" s="96"/>
      <c r="ER2" s="96"/>
      <c r="ES2" s="96"/>
      <c r="ET2" s="96"/>
      <c r="EU2" s="96"/>
      <c r="EV2" s="96"/>
      <c r="EW2" s="96"/>
      <c r="EX2" s="96"/>
      <c r="EY2" s="96"/>
      <c r="EZ2" s="96"/>
      <c r="FA2" s="96"/>
      <c r="FB2" s="96"/>
      <c r="FC2" s="96"/>
      <c r="FD2" s="96"/>
      <c r="FE2" s="96"/>
      <c r="FF2" s="96"/>
      <c r="FG2" s="96"/>
      <c r="FH2" s="96"/>
      <c r="FI2" s="96"/>
      <c r="FJ2" s="96"/>
      <c r="FK2" s="96"/>
      <c r="FL2" s="96"/>
      <c r="FM2" s="96"/>
      <c r="FN2" s="96"/>
      <c r="FO2" s="96"/>
      <c r="FP2" s="96"/>
      <c r="FQ2" s="96"/>
      <c r="FR2" s="96"/>
      <c r="FS2" s="96"/>
      <c r="FT2" s="96"/>
      <c r="FU2" s="96"/>
      <c r="FV2" s="96"/>
      <c r="FW2" s="96"/>
      <c r="FX2" s="96"/>
      <c r="FY2" s="96"/>
      <c r="FZ2" s="96"/>
      <c r="GA2" s="96"/>
      <c r="GB2" s="96"/>
      <c r="GC2" s="96"/>
      <c r="GD2" s="96"/>
      <c r="GE2" s="96"/>
      <c r="GF2" s="96"/>
      <c r="GG2" s="96"/>
      <c r="GH2" s="96"/>
    </row>
    <row r="3" ht="42" spans="1:190">
      <c r="A3" s="22"/>
      <c r="B3" s="22">
        <v>2</v>
      </c>
      <c r="C3" s="23" t="s">
        <v>56</v>
      </c>
      <c r="D3" s="22" t="str">
        <f t="shared" si="0"/>
        <v>0x1001</v>
      </c>
      <c r="E3" s="22" t="s">
        <v>15</v>
      </c>
      <c r="F3" s="22" t="s">
        <v>52</v>
      </c>
      <c r="G3" s="22" t="s">
        <v>53</v>
      </c>
      <c r="H3" s="22">
        <v>0</v>
      </c>
      <c r="I3" s="22">
        <v>1</v>
      </c>
      <c r="J3" s="23" t="s">
        <v>57</v>
      </c>
      <c r="K3" s="22" t="s">
        <v>55</v>
      </c>
    </row>
    <row r="4" ht="84" spans="1:190">
      <c r="A4" s="22"/>
      <c r="B4" s="22">
        <v>3</v>
      </c>
      <c r="C4" s="23" t="s">
        <v>58</v>
      </c>
      <c r="D4" s="22" t="str">
        <f t="shared" si="0"/>
        <v>0x1002</v>
      </c>
      <c r="E4" s="22" t="s">
        <v>15</v>
      </c>
      <c r="F4" s="22" t="s">
        <v>52</v>
      </c>
      <c r="G4" s="22" t="s">
        <v>59</v>
      </c>
      <c r="H4" s="22">
        <v>0</v>
      </c>
      <c r="I4" s="22">
        <v>1</v>
      </c>
      <c r="J4" s="25" t="s">
        <v>60</v>
      </c>
      <c r="K4" s="22"/>
    </row>
    <row r="5" ht="84" spans="1:190">
      <c r="A5" s="22"/>
      <c r="B5" s="22">
        <v>4</v>
      </c>
      <c r="C5" s="23" t="s">
        <v>61</v>
      </c>
      <c r="D5" s="22" t="str">
        <f t="shared" si="0"/>
        <v>0x1003</v>
      </c>
      <c r="E5" s="22" t="s">
        <v>15</v>
      </c>
      <c r="F5" s="22" t="s">
        <v>52</v>
      </c>
      <c r="G5" s="22" t="s">
        <v>62</v>
      </c>
      <c r="H5" s="22">
        <v>0</v>
      </c>
      <c r="I5" s="22">
        <v>1</v>
      </c>
      <c r="J5" s="23" t="s">
        <v>63</v>
      </c>
      <c r="K5" s="22" t="s">
        <v>55</v>
      </c>
    </row>
    <row r="6" ht="28" spans="1:190">
      <c r="A6" s="22" t="s">
        <v>64</v>
      </c>
      <c r="B6" s="22">
        <v>5</v>
      </c>
      <c r="C6" s="31" t="s">
        <v>65</v>
      </c>
      <c r="D6" s="22" t="str">
        <f t="shared" si="0"/>
        <v>0x1004</v>
      </c>
      <c r="E6" s="22" t="s">
        <v>15</v>
      </c>
      <c r="F6" s="22" t="s">
        <v>52</v>
      </c>
      <c r="G6" s="22" t="s">
        <v>66</v>
      </c>
      <c r="H6" s="22">
        <v>50</v>
      </c>
      <c r="I6" s="22" t="s">
        <v>67</v>
      </c>
      <c r="J6" s="23" t="s">
        <v>68</v>
      </c>
      <c r="K6" s="22" t="s">
        <v>55</v>
      </c>
    </row>
    <row r="7" ht="28" spans="1:190">
      <c r="A7" s="22"/>
      <c r="B7" s="22">
        <v>6</v>
      </c>
      <c r="C7" s="23" t="s">
        <v>69</v>
      </c>
      <c r="D7" s="22" t="str">
        <f t="shared" si="0"/>
        <v>0x1005</v>
      </c>
      <c r="E7" s="22" t="s">
        <v>15</v>
      </c>
      <c r="F7" s="22" t="s">
        <v>52</v>
      </c>
      <c r="G7" s="22" t="s">
        <v>70</v>
      </c>
      <c r="H7" s="22">
        <v>220</v>
      </c>
      <c r="I7" s="22" t="s">
        <v>71</v>
      </c>
      <c r="J7" s="23" t="s">
        <v>72</v>
      </c>
      <c r="K7" s="22" t="s">
        <v>55</v>
      </c>
    </row>
    <row r="8" ht="41.5" customHeight="1" spans="1:190">
      <c r="A8" s="22"/>
      <c r="B8" s="22">
        <v>7</v>
      </c>
      <c r="C8" s="25" t="s">
        <v>73</v>
      </c>
      <c r="D8" s="22" t="str">
        <f t="shared" si="0"/>
        <v>0x1006</v>
      </c>
      <c r="E8" s="22" t="s">
        <v>15</v>
      </c>
      <c r="F8" s="22" t="s">
        <v>52</v>
      </c>
      <c r="G8" s="118" t="s">
        <v>74</v>
      </c>
      <c r="H8" s="22">
        <v>0</v>
      </c>
      <c r="I8" s="22" t="s">
        <v>75</v>
      </c>
      <c r="J8" s="23" t="s">
        <v>76</v>
      </c>
      <c r="K8" s="22"/>
    </row>
    <row r="9" ht="41.5" customHeight="1" spans="1:190">
      <c r="A9" s="22"/>
      <c r="B9" s="22">
        <v>8</v>
      </c>
      <c r="C9" s="25" t="s">
        <v>77</v>
      </c>
      <c r="D9" s="22" t="str">
        <f t="shared" si="0"/>
        <v>0x1007</v>
      </c>
      <c r="E9" s="22" t="s">
        <v>15</v>
      </c>
      <c r="F9" s="22" t="s">
        <v>52</v>
      </c>
      <c r="G9" s="118" t="s">
        <v>74</v>
      </c>
      <c r="H9" s="22">
        <v>0</v>
      </c>
      <c r="I9" s="22" t="s">
        <v>75</v>
      </c>
      <c r="J9" s="23"/>
      <c r="K9" s="22"/>
    </row>
    <row r="10" ht="41.5" customHeight="1" spans="1:190">
      <c r="A10" s="22"/>
      <c r="B10" s="22">
        <v>9</v>
      </c>
      <c r="C10" s="25" t="s">
        <v>78</v>
      </c>
      <c r="D10" s="22" t="str">
        <f t="shared" si="0"/>
        <v>0x1008</v>
      </c>
      <c r="E10" s="22" t="s">
        <v>15</v>
      </c>
      <c r="F10" s="22" t="s">
        <v>52</v>
      </c>
      <c r="G10" s="118" t="s">
        <v>74</v>
      </c>
      <c r="H10" s="22">
        <v>0</v>
      </c>
      <c r="I10" s="22" t="s">
        <v>75</v>
      </c>
      <c r="J10" s="23"/>
      <c r="K10" s="22"/>
    </row>
    <row r="11" ht="27" customHeight="1" spans="1:190">
      <c r="A11" s="22" t="s">
        <v>79</v>
      </c>
      <c r="B11" s="22">
        <v>10</v>
      </c>
      <c r="C11" s="23" t="s">
        <v>80</v>
      </c>
      <c r="D11" s="22" t="str">
        <f t="shared" si="0"/>
        <v>0x1009</v>
      </c>
      <c r="E11" s="22" t="s">
        <v>15</v>
      </c>
      <c r="F11" s="22" t="s">
        <v>52</v>
      </c>
      <c r="G11" s="22" t="s">
        <v>81</v>
      </c>
      <c r="H11" s="22">
        <v>800</v>
      </c>
      <c r="I11" s="22" t="s">
        <v>82</v>
      </c>
      <c r="J11" s="23"/>
      <c r="K11" s="22" t="s">
        <v>55</v>
      </c>
    </row>
    <row r="12" spans="1:190">
      <c r="A12" s="22"/>
      <c r="B12" s="22">
        <v>11</v>
      </c>
      <c r="C12" s="23" t="s">
        <v>83</v>
      </c>
      <c r="D12" s="22" t="str">
        <f t="shared" si="0"/>
        <v>0x100A</v>
      </c>
      <c r="E12" s="22" t="s">
        <v>15</v>
      </c>
      <c r="F12" s="22" t="s">
        <v>84</v>
      </c>
      <c r="G12" s="22" t="s">
        <v>85</v>
      </c>
      <c r="H12" s="22">
        <v>100</v>
      </c>
      <c r="I12" s="22" t="s">
        <v>86</v>
      </c>
      <c r="J12" s="23"/>
      <c r="K12" s="22" t="s">
        <v>55</v>
      </c>
    </row>
    <row r="13" ht="54.5" customHeight="1" spans="1:190">
      <c r="A13" s="22" t="s">
        <v>87</v>
      </c>
      <c r="B13" s="22">
        <v>12</v>
      </c>
      <c r="C13" s="31" t="s">
        <v>88</v>
      </c>
      <c r="D13" s="22" t="str">
        <f t="shared" si="0"/>
        <v>0x100B</v>
      </c>
      <c r="E13" s="22" t="s">
        <v>15</v>
      </c>
      <c r="F13" s="22" t="s">
        <v>52</v>
      </c>
      <c r="G13" s="22" t="s">
        <v>59</v>
      </c>
      <c r="H13" s="22">
        <v>0</v>
      </c>
      <c r="I13" s="22">
        <v>1</v>
      </c>
      <c r="J13" s="23" t="s">
        <v>89</v>
      </c>
      <c r="K13" s="22" t="s">
        <v>55</v>
      </c>
    </row>
    <row r="14" ht="54.5" customHeight="1" spans="1:190">
      <c r="A14" s="22"/>
      <c r="B14" s="22">
        <v>13</v>
      </c>
      <c r="C14" s="31" t="s">
        <v>90</v>
      </c>
      <c r="D14" s="22" t="str">
        <f t="shared" si="0"/>
        <v>0x100C</v>
      </c>
      <c r="E14" s="22" t="s">
        <v>15</v>
      </c>
      <c r="F14" s="22" t="s">
        <v>52</v>
      </c>
      <c r="G14" s="22" t="s">
        <v>62</v>
      </c>
      <c r="H14" s="22">
        <v>1</v>
      </c>
      <c r="I14" s="22">
        <v>1</v>
      </c>
      <c r="J14" s="23" t="s">
        <v>91</v>
      </c>
      <c r="K14" s="22" t="s">
        <v>55</v>
      </c>
    </row>
    <row r="15" ht="54.5" customHeight="1" spans="1:190">
      <c r="A15" s="22"/>
      <c r="B15" s="22">
        <v>14</v>
      </c>
      <c r="C15" s="23" t="s">
        <v>92</v>
      </c>
      <c r="D15" s="22" t="str">
        <f t="shared" si="0"/>
        <v>0x100D</v>
      </c>
      <c r="E15" s="22" t="s">
        <v>15</v>
      </c>
      <c r="F15" s="22" t="s">
        <v>84</v>
      </c>
      <c r="G15" s="118" t="s">
        <v>74</v>
      </c>
      <c r="H15" s="22">
        <v>0</v>
      </c>
      <c r="I15" s="22" t="s">
        <v>75</v>
      </c>
      <c r="J15" s="119" t="s">
        <v>93</v>
      </c>
      <c r="K15" s="22"/>
    </row>
    <row r="16" ht="54.5" customHeight="1" spans="1:190">
      <c r="A16" s="22"/>
      <c r="B16" s="22">
        <v>15</v>
      </c>
      <c r="C16" s="23" t="s">
        <v>94</v>
      </c>
      <c r="D16" s="22" t="str">
        <f t="shared" si="0"/>
        <v>0x100E</v>
      </c>
      <c r="E16" s="22" t="s">
        <v>15</v>
      </c>
      <c r="F16" s="22" t="s">
        <v>84</v>
      </c>
      <c r="G16" s="118" t="s">
        <v>74</v>
      </c>
      <c r="H16" s="22">
        <v>0</v>
      </c>
      <c r="I16" s="22" t="s">
        <v>95</v>
      </c>
      <c r="J16" s="119" t="s">
        <v>96</v>
      </c>
      <c r="K16" s="22"/>
    </row>
    <row r="17" ht="41.5" customHeight="1" spans="1:11">
      <c r="A17" s="22"/>
      <c r="B17" s="22">
        <v>16</v>
      </c>
      <c r="C17" s="23" t="s">
        <v>97</v>
      </c>
      <c r="D17" s="22" t="str">
        <f t="shared" si="0"/>
        <v>0x100F</v>
      </c>
      <c r="E17" s="22" t="s">
        <v>15</v>
      </c>
      <c r="F17" s="22" t="s">
        <v>84</v>
      </c>
      <c r="G17" s="118" t="s">
        <v>98</v>
      </c>
      <c r="H17" s="22">
        <v>1</v>
      </c>
      <c r="I17" s="22">
        <v>0.01</v>
      </c>
      <c r="J17" s="119" t="s">
        <v>96</v>
      </c>
      <c r="K17" s="22"/>
    </row>
    <row r="18" ht="41.5" customHeight="1" spans="1:11">
      <c r="A18" s="22"/>
      <c r="B18" s="22">
        <v>17</v>
      </c>
      <c r="C18" s="23" t="s">
        <v>99</v>
      </c>
      <c r="D18" s="22" t="str">
        <f t="shared" si="0"/>
        <v>0x1010</v>
      </c>
      <c r="E18" s="22" t="s">
        <v>15</v>
      </c>
      <c r="F18" s="22" t="s">
        <v>52</v>
      </c>
      <c r="G18" s="22" t="s">
        <v>100</v>
      </c>
      <c r="H18" s="22">
        <v>1</v>
      </c>
      <c r="I18" s="22">
        <v>0</v>
      </c>
      <c r="J18" s="23" t="s">
        <v>101</v>
      </c>
      <c r="K18" s="22" t="s">
        <v>55</v>
      </c>
    </row>
    <row r="19" ht="41.5" customHeight="1" spans="1:11">
      <c r="A19" s="22"/>
      <c r="B19" s="22">
        <v>18</v>
      </c>
      <c r="C19" s="31" t="s">
        <v>102</v>
      </c>
      <c r="D19" s="22" t="str">
        <f t="shared" si="0"/>
        <v>0x1011</v>
      </c>
      <c r="E19" s="22" t="s">
        <v>15</v>
      </c>
      <c r="F19" s="22" t="s">
        <v>52</v>
      </c>
      <c r="G19" s="22" t="s">
        <v>100</v>
      </c>
      <c r="H19" s="22">
        <v>1</v>
      </c>
      <c r="I19" s="22">
        <v>1</v>
      </c>
      <c r="J19" s="23" t="s">
        <v>103</v>
      </c>
      <c r="K19" s="22" t="s">
        <v>55</v>
      </c>
    </row>
    <row r="20" ht="41.5" customHeight="1" spans="1:11">
      <c r="A20" s="22"/>
      <c r="B20" s="22">
        <v>19</v>
      </c>
      <c r="C20" s="23" t="s">
        <v>104</v>
      </c>
      <c r="D20" s="22" t="str">
        <f t="shared" si="0"/>
        <v>0x1012</v>
      </c>
      <c r="E20" s="22" t="s">
        <v>15</v>
      </c>
      <c r="F20" s="22" t="s">
        <v>52</v>
      </c>
      <c r="G20" s="22" t="s">
        <v>105</v>
      </c>
      <c r="H20" s="22">
        <v>0.3</v>
      </c>
      <c r="I20" s="22" t="s">
        <v>106</v>
      </c>
      <c r="J20" s="23"/>
      <c r="K20" s="22" t="s">
        <v>55</v>
      </c>
    </row>
    <row r="21" ht="41.5" customHeight="1" spans="1:11">
      <c r="A21" s="22"/>
      <c r="B21" s="22">
        <v>20</v>
      </c>
      <c r="C21" s="31" t="s">
        <v>107</v>
      </c>
      <c r="D21" s="22" t="str">
        <f t="shared" si="0"/>
        <v>0x1013</v>
      </c>
      <c r="E21" s="22" t="s">
        <v>15</v>
      </c>
      <c r="F21" s="22" t="s">
        <v>52</v>
      </c>
      <c r="G21" s="22" t="s">
        <v>105</v>
      </c>
      <c r="H21" s="22">
        <v>0.3</v>
      </c>
      <c r="I21" s="22" t="s">
        <v>106</v>
      </c>
      <c r="J21" s="23"/>
      <c r="K21" s="22" t="s">
        <v>55</v>
      </c>
    </row>
    <row r="22" ht="41.5" customHeight="1" spans="1:11">
      <c r="A22" s="22"/>
      <c r="B22" s="22">
        <v>21</v>
      </c>
      <c r="C22" s="31" t="s">
        <v>108</v>
      </c>
      <c r="D22" s="22" t="str">
        <f t="shared" si="0"/>
        <v>0x1014</v>
      </c>
      <c r="E22" s="22" t="s">
        <v>15</v>
      </c>
      <c r="F22" s="22" t="s">
        <v>52</v>
      </c>
      <c r="G22" s="22" t="s">
        <v>109</v>
      </c>
      <c r="H22" s="22">
        <v>60</v>
      </c>
      <c r="I22" s="22" t="s">
        <v>110</v>
      </c>
      <c r="J22" s="23"/>
      <c r="K22" s="22" t="s">
        <v>55</v>
      </c>
    </row>
    <row r="23" ht="41.5" customHeight="1" spans="1:11">
      <c r="A23" s="22"/>
      <c r="B23" s="22">
        <v>22</v>
      </c>
      <c r="C23" s="23" t="s">
        <v>111</v>
      </c>
      <c r="D23" s="22" t="str">
        <f t="shared" si="0"/>
        <v>0x1015</v>
      </c>
      <c r="E23" s="22" t="s">
        <v>15</v>
      </c>
      <c r="F23" s="22" t="s">
        <v>52</v>
      </c>
      <c r="G23" s="22" t="s">
        <v>53</v>
      </c>
      <c r="H23" s="22">
        <v>1</v>
      </c>
      <c r="I23" s="22">
        <v>0.01</v>
      </c>
      <c r="J23" s="23"/>
      <c r="K23" s="22"/>
    </row>
    <row r="24" ht="41.5" customHeight="1" spans="1:11">
      <c r="A24" s="22"/>
      <c r="B24" s="22">
        <v>23</v>
      </c>
      <c r="C24" s="31" t="s">
        <v>112</v>
      </c>
      <c r="D24" s="22" t="str">
        <f t="shared" si="0"/>
        <v>0x1016</v>
      </c>
      <c r="E24" s="22" t="s">
        <v>15</v>
      </c>
      <c r="F24" s="22" t="s">
        <v>52</v>
      </c>
      <c r="G24" s="22" t="s">
        <v>100</v>
      </c>
      <c r="H24" s="22">
        <v>0</v>
      </c>
      <c r="I24" s="22">
        <v>1</v>
      </c>
      <c r="J24" s="23" t="s">
        <v>113</v>
      </c>
      <c r="K24" s="22"/>
    </row>
    <row r="25" ht="41.5" customHeight="1" spans="1:11">
      <c r="A25" s="22"/>
      <c r="B25" s="22">
        <v>24</v>
      </c>
      <c r="C25" s="31" t="s">
        <v>114</v>
      </c>
      <c r="D25" s="22" t="str">
        <f t="shared" si="0"/>
        <v>0x1017</v>
      </c>
      <c r="E25" s="22" t="s">
        <v>15</v>
      </c>
      <c r="F25" s="22" t="s">
        <v>52</v>
      </c>
      <c r="G25" s="22" t="s">
        <v>100</v>
      </c>
      <c r="H25" s="22">
        <v>0</v>
      </c>
      <c r="I25" s="22">
        <v>1</v>
      </c>
      <c r="J25" s="23" t="s">
        <v>113</v>
      </c>
      <c r="K25" s="22"/>
    </row>
    <row r="26" ht="41.5" customHeight="1" spans="1:11">
      <c r="A26" s="98" t="s">
        <v>115</v>
      </c>
      <c r="B26" s="22">
        <v>25</v>
      </c>
      <c r="C26" s="31" t="s">
        <v>116</v>
      </c>
      <c r="D26" s="22" t="str">
        <f t="shared" si="0"/>
        <v>0x1018</v>
      </c>
      <c r="E26" s="22" t="s">
        <v>15</v>
      </c>
      <c r="F26" s="22" t="s">
        <v>52</v>
      </c>
      <c r="G26" s="22" t="s">
        <v>117</v>
      </c>
      <c r="H26" s="22">
        <v>75</v>
      </c>
      <c r="I26" s="22" t="s">
        <v>118</v>
      </c>
      <c r="J26" s="23"/>
      <c r="K26" s="22" t="s">
        <v>55</v>
      </c>
    </row>
    <row r="27" ht="41.5" customHeight="1" spans="1:11">
      <c r="A27" s="22"/>
      <c r="B27" s="22">
        <v>26</v>
      </c>
      <c r="C27" s="23" t="s">
        <v>119</v>
      </c>
      <c r="D27" s="22" t="str">
        <f t="shared" si="0"/>
        <v>0x1019</v>
      </c>
      <c r="E27" s="22" t="s">
        <v>15</v>
      </c>
      <c r="F27" s="22" t="s">
        <v>52</v>
      </c>
      <c r="G27" s="22" t="s">
        <v>100</v>
      </c>
      <c r="H27" s="22">
        <v>1</v>
      </c>
      <c r="I27" s="22">
        <v>1</v>
      </c>
      <c r="J27" s="23" t="s">
        <v>120</v>
      </c>
      <c r="K27" s="22" t="s">
        <v>55</v>
      </c>
    </row>
    <row r="28" ht="41.5" customHeight="1" spans="1:11">
      <c r="A28" s="22"/>
      <c r="B28" s="22">
        <v>27</v>
      </c>
      <c r="C28" s="23" t="s">
        <v>121</v>
      </c>
      <c r="D28" s="22" t="str">
        <f t="shared" si="0"/>
        <v>0x101A</v>
      </c>
      <c r="E28" s="22" t="s">
        <v>15</v>
      </c>
      <c r="F28" s="22" t="s">
        <v>52</v>
      </c>
      <c r="G28" s="22" t="s">
        <v>117</v>
      </c>
      <c r="H28" s="22">
        <v>150</v>
      </c>
      <c r="I28" s="22" t="s">
        <v>118</v>
      </c>
      <c r="J28" s="23" t="s">
        <v>120</v>
      </c>
      <c r="K28" s="22" t="s">
        <v>55</v>
      </c>
    </row>
    <row r="29" ht="41.5" customHeight="1" spans="1:11">
      <c r="A29" s="98" t="s">
        <v>122</v>
      </c>
      <c r="B29" s="22">
        <v>28</v>
      </c>
      <c r="C29" s="31" t="s">
        <v>123</v>
      </c>
      <c r="D29" s="22" t="str">
        <f t="shared" si="0"/>
        <v>0x101B</v>
      </c>
      <c r="E29" s="22" t="s">
        <v>15</v>
      </c>
      <c r="F29" s="22" t="s">
        <v>52</v>
      </c>
      <c r="G29" s="22" t="s">
        <v>100</v>
      </c>
      <c r="H29" s="22">
        <v>0</v>
      </c>
      <c r="I29" s="22">
        <v>1</v>
      </c>
      <c r="J29" s="23" t="s">
        <v>124</v>
      </c>
      <c r="K29" s="22" t="s">
        <v>55</v>
      </c>
    </row>
    <row r="30" ht="41.5" customHeight="1" spans="1:11">
      <c r="A30" s="22"/>
      <c r="B30" s="22">
        <v>29</v>
      </c>
      <c r="C30" s="23" t="s">
        <v>125</v>
      </c>
      <c r="D30" s="22" t="str">
        <f t="shared" si="0"/>
        <v>0x101C</v>
      </c>
      <c r="E30" s="22" t="s">
        <v>15</v>
      </c>
      <c r="F30" s="22" t="s">
        <v>52</v>
      </c>
      <c r="G30" s="22" t="s">
        <v>100</v>
      </c>
      <c r="H30" s="22">
        <v>0</v>
      </c>
      <c r="I30" s="22">
        <v>1</v>
      </c>
      <c r="J30" s="23" t="s">
        <v>126</v>
      </c>
      <c r="K30" s="22" t="s">
        <v>55</v>
      </c>
    </row>
    <row r="31" ht="41.5" customHeight="1" spans="1:11">
      <c r="A31" s="98" t="s">
        <v>127</v>
      </c>
      <c r="B31" s="22">
        <v>30</v>
      </c>
      <c r="C31" s="25" t="s">
        <v>128</v>
      </c>
      <c r="D31" s="24" t="str">
        <f t="shared" si="0"/>
        <v>0x101D</v>
      </c>
      <c r="E31" s="24" t="s">
        <v>15</v>
      </c>
      <c r="F31" s="24" t="s">
        <v>52</v>
      </c>
      <c r="G31" s="24" t="s">
        <v>100</v>
      </c>
      <c r="H31" s="24">
        <v>1</v>
      </c>
      <c r="I31" s="24">
        <v>1</v>
      </c>
      <c r="J31" s="25" t="s">
        <v>129</v>
      </c>
      <c r="K31" s="24" t="s">
        <v>55</v>
      </c>
    </row>
    <row r="32" ht="41.5" customHeight="1" spans="1:11">
      <c r="A32" s="22"/>
      <c r="B32" s="22">
        <v>31</v>
      </c>
      <c r="C32" s="31" t="s">
        <v>130</v>
      </c>
      <c r="D32" s="22" t="str">
        <f t="shared" si="0"/>
        <v>0x101E</v>
      </c>
      <c r="E32" s="22" t="s">
        <v>15</v>
      </c>
      <c r="F32" s="22" t="s">
        <v>52</v>
      </c>
      <c r="G32" s="22" t="s">
        <v>100</v>
      </c>
      <c r="H32" s="22">
        <v>0</v>
      </c>
      <c r="I32" s="22">
        <v>1</v>
      </c>
      <c r="J32" s="23" t="s">
        <v>126</v>
      </c>
      <c r="K32" s="22" t="s">
        <v>55</v>
      </c>
    </row>
    <row r="33" ht="41.5" customHeight="1" spans="1:11">
      <c r="A33" s="22"/>
      <c r="B33" s="22">
        <v>32</v>
      </c>
      <c r="C33" s="25" t="s">
        <v>131</v>
      </c>
      <c r="D33" s="22" t="str">
        <f t="shared" si="0"/>
        <v>0x101F</v>
      </c>
      <c r="E33" s="22" t="s">
        <v>15</v>
      </c>
      <c r="F33" s="22" t="s">
        <v>52</v>
      </c>
      <c r="G33" s="118" t="s">
        <v>74</v>
      </c>
      <c r="H33" s="22">
        <v>0</v>
      </c>
      <c r="I33" s="22" t="s">
        <v>95</v>
      </c>
      <c r="J33" s="23"/>
      <c r="K33" s="22"/>
    </row>
    <row r="34" ht="41.5" customHeight="1" spans="1:11">
      <c r="A34" s="22"/>
      <c r="B34" s="22">
        <v>33</v>
      </c>
      <c r="C34" s="25" t="s">
        <v>132</v>
      </c>
      <c r="D34" s="22" t="str">
        <f t="shared" ref="D34:D70" si="1">CONCATENATE("0x",DEC2HEX((B34)+4095,4))</f>
        <v>0x1020</v>
      </c>
      <c r="E34" s="22" t="s">
        <v>15</v>
      </c>
      <c r="F34" s="22" t="s">
        <v>52</v>
      </c>
      <c r="G34" s="118" t="s">
        <v>74</v>
      </c>
      <c r="H34" s="22">
        <v>0</v>
      </c>
      <c r="I34" s="22" t="s">
        <v>95</v>
      </c>
      <c r="J34" s="23"/>
      <c r="K34" s="22"/>
    </row>
    <row r="35" ht="41.5" customHeight="1" spans="1:11">
      <c r="A35" s="22"/>
      <c r="B35" s="22">
        <v>34</v>
      </c>
      <c r="C35" s="25" t="s">
        <v>133</v>
      </c>
      <c r="D35" s="22" t="str">
        <f t="shared" si="1"/>
        <v>0x1021</v>
      </c>
      <c r="E35" s="22" t="s">
        <v>15</v>
      </c>
      <c r="F35" s="22" t="s">
        <v>52</v>
      </c>
      <c r="G35" s="118" t="s">
        <v>74</v>
      </c>
      <c r="H35" s="22">
        <v>0</v>
      </c>
      <c r="I35" s="22" t="s">
        <v>95</v>
      </c>
      <c r="J35" s="23"/>
      <c r="K35" s="22"/>
    </row>
    <row r="36" ht="41.5" customHeight="1" spans="1:11">
      <c r="A36" s="22"/>
      <c r="B36" s="22">
        <v>35</v>
      </c>
      <c r="C36" s="31" t="s">
        <v>38</v>
      </c>
      <c r="D36" s="22" t="str">
        <f t="shared" si="1"/>
        <v>0x1022</v>
      </c>
      <c r="E36" s="22" t="s">
        <v>15</v>
      </c>
      <c r="F36" s="22" t="s">
        <v>52</v>
      </c>
      <c r="G36" s="22"/>
      <c r="H36" s="22"/>
      <c r="I36" s="22"/>
      <c r="J36" s="23" t="s">
        <v>38</v>
      </c>
      <c r="K36" s="22"/>
    </row>
    <row r="37" ht="41.5" customHeight="1" spans="1:11">
      <c r="A37" s="98" t="s">
        <v>134</v>
      </c>
      <c r="B37" s="22">
        <v>36</v>
      </c>
      <c r="C37" s="25" t="s">
        <v>135</v>
      </c>
      <c r="D37" s="22" t="str">
        <f t="shared" si="1"/>
        <v>0x1023</v>
      </c>
      <c r="E37" s="22" t="s">
        <v>15</v>
      </c>
      <c r="F37" s="22" t="s">
        <v>52</v>
      </c>
      <c r="G37" s="22" t="s">
        <v>117</v>
      </c>
      <c r="H37" s="22">
        <v>0</v>
      </c>
      <c r="I37" s="22">
        <v>1</v>
      </c>
      <c r="J37" s="23" t="s">
        <v>136</v>
      </c>
      <c r="K37" s="22" t="s">
        <v>55</v>
      </c>
    </row>
    <row r="38" ht="41.5" customHeight="1" spans="1:11">
      <c r="A38" s="22"/>
      <c r="B38" s="22">
        <v>37</v>
      </c>
      <c r="C38" s="23" t="s">
        <v>137</v>
      </c>
      <c r="D38" s="22" t="str">
        <f t="shared" si="1"/>
        <v>0x1024</v>
      </c>
      <c r="E38" s="22" t="s">
        <v>15</v>
      </c>
      <c r="F38" s="22" t="s">
        <v>52</v>
      </c>
      <c r="G38" s="22" t="s">
        <v>62</v>
      </c>
      <c r="H38" s="22">
        <v>0.5</v>
      </c>
      <c r="I38" s="22">
        <v>0.001</v>
      </c>
      <c r="J38" s="23"/>
      <c r="K38" s="22" t="s">
        <v>55</v>
      </c>
    </row>
    <row r="39" ht="41.5" customHeight="1" spans="1:11">
      <c r="A39" s="22"/>
      <c r="B39" s="22">
        <v>38</v>
      </c>
      <c r="C39" s="23" t="s">
        <v>138</v>
      </c>
      <c r="D39" s="22" t="str">
        <f t="shared" si="1"/>
        <v>0x1025</v>
      </c>
      <c r="E39" s="22" t="s">
        <v>15</v>
      </c>
      <c r="F39" s="22" t="s">
        <v>52</v>
      </c>
      <c r="G39" s="22" t="s">
        <v>100</v>
      </c>
      <c r="H39" s="22">
        <v>0.05</v>
      </c>
      <c r="I39" s="22">
        <v>0.001</v>
      </c>
      <c r="J39" s="23"/>
      <c r="K39" s="22" t="s">
        <v>55</v>
      </c>
    </row>
    <row r="40" ht="41.5" customHeight="1" spans="1:11">
      <c r="A40" s="98" t="s">
        <v>139</v>
      </c>
      <c r="B40" s="22">
        <v>39</v>
      </c>
      <c r="C40" s="23" t="s">
        <v>140</v>
      </c>
      <c r="D40" s="22" t="str">
        <f t="shared" si="1"/>
        <v>0x1026</v>
      </c>
      <c r="E40" s="22" t="s">
        <v>15</v>
      </c>
      <c r="F40" s="22" t="s">
        <v>84</v>
      </c>
      <c r="G40" s="22" t="s">
        <v>141</v>
      </c>
      <c r="H40" s="22">
        <v>0</v>
      </c>
      <c r="I40" s="22" t="s">
        <v>75</v>
      </c>
      <c r="J40" s="23"/>
      <c r="K40" s="22" t="s">
        <v>55</v>
      </c>
    </row>
    <row r="41" ht="41.5" customHeight="1" spans="1:11">
      <c r="A41" s="22"/>
      <c r="B41" s="22">
        <v>40</v>
      </c>
      <c r="C41" s="23" t="s">
        <v>142</v>
      </c>
      <c r="D41" s="22" t="str">
        <f t="shared" si="1"/>
        <v>0x1027</v>
      </c>
      <c r="E41" s="22" t="s">
        <v>15</v>
      </c>
      <c r="F41" s="22" t="s">
        <v>84</v>
      </c>
      <c r="G41" s="22" t="s">
        <v>141</v>
      </c>
      <c r="H41" s="22">
        <v>0</v>
      </c>
      <c r="I41" s="22" t="s">
        <v>143</v>
      </c>
      <c r="J41" s="23"/>
      <c r="K41" s="22" t="s">
        <v>55</v>
      </c>
    </row>
    <row r="42" ht="41.5" customHeight="1" spans="1:11">
      <c r="A42" s="22" t="s">
        <v>144</v>
      </c>
      <c r="B42" s="22">
        <v>41</v>
      </c>
      <c r="C42" s="31" t="s">
        <v>145</v>
      </c>
      <c r="D42" s="22" t="str">
        <f t="shared" si="1"/>
        <v>0x1028</v>
      </c>
      <c r="E42" s="22" t="s">
        <v>15</v>
      </c>
      <c r="F42" s="22" t="s">
        <v>52</v>
      </c>
      <c r="G42" s="22" t="s">
        <v>100</v>
      </c>
      <c r="H42" s="22">
        <v>0</v>
      </c>
      <c r="I42" s="22">
        <v>1</v>
      </c>
      <c r="J42" s="23"/>
      <c r="K42" s="22" t="s">
        <v>55</v>
      </c>
    </row>
    <row r="43" ht="41.5" customHeight="1" spans="1:11">
      <c r="A43" s="22"/>
      <c r="B43" s="22">
        <v>42</v>
      </c>
      <c r="C43" s="31" t="s">
        <v>146</v>
      </c>
      <c r="D43" s="22" t="str">
        <f t="shared" si="1"/>
        <v>0x1029</v>
      </c>
      <c r="E43" s="22" t="s">
        <v>15</v>
      </c>
      <c r="F43" s="22" t="s">
        <v>52</v>
      </c>
      <c r="G43" s="22" t="s">
        <v>147</v>
      </c>
      <c r="H43" s="22">
        <v>1</v>
      </c>
      <c r="I43" s="22">
        <v>1</v>
      </c>
      <c r="J43" s="23"/>
      <c r="K43" s="22" t="s">
        <v>55</v>
      </c>
    </row>
    <row r="44" ht="41.5" customHeight="1" spans="1:11">
      <c r="A44" s="22"/>
      <c r="B44" s="22">
        <v>43</v>
      </c>
      <c r="C44" s="31" t="s">
        <v>148</v>
      </c>
      <c r="D44" s="22" t="str">
        <f t="shared" si="1"/>
        <v>0x102A</v>
      </c>
      <c r="E44" s="22" t="s">
        <v>15</v>
      </c>
      <c r="F44" s="22" t="s">
        <v>52</v>
      </c>
      <c r="G44" s="22" t="s">
        <v>149</v>
      </c>
      <c r="H44" s="22">
        <v>0</v>
      </c>
      <c r="I44" s="22">
        <v>1</v>
      </c>
      <c r="J44" s="23"/>
      <c r="K44" s="22" t="s">
        <v>55</v>
      </c>
    </row>
    <row r="45" ht="41.5" customHeight="1" spans="1:11">
      <c r="A45" s="22"/>
      <c r="B45" s="22">
        <v>44</v>
      </c>
      <c r="C45" s="23" t="s">
        <v>150</v>
      </c>
      <c r="D45" s="22" t="str">
        <f t="shared" si="1"/>
        <v>0x102B</v>
      </c>
      <c r="E45" s="22" t="s">
        <v>15</v>
      </c>
      <c r="F45" s="22" t="s">
        <v>52</v>
      </c>
      <c r="G45" s="22" t="s">
        <v>117</v>
      </c>
      <c r="H45" s="22">
        <v>979</v>
      </c>
      <c r="I45" s="22">
        <v>1</v>
      </c>
      <c r="J45" s="23"/>
      <c r="K45" s="22" t="s">
        <v>55</v>
      </c>
    </row>
    <row r="46" ht="41.5" customHeight="1" spans="1:11">
      <c r="A46" s="22" t="s">
        <v>151</v>
      </c>
      <c r="B46" s="22">
        <v>45</v>
      </c>
      <c r="C46" s="23" t="s">
        <v>152</v>
      </c>
      <c r="D46" s="22" t="str">
        <f t="shared" si="1"/>
        <v>0x102C</v>
      </c>
      <c r="E46" s="22" t="s">
        <v>15</v>
      </c>
      <c r="F46" s="22" t="s">
        <v>52</v>
      </c>
      <c r="G46" s="22" t="s">
        <v>153</v>
      </c>
      <c r="H46" s="22">
        <v>230</v>
      </c>
      <c r="I46" s="22">
        <v>1</v>
      </c>
      <c r="J46" s="23"/>
      <c r="K46" s="22" t="s">
        <v>55</v>
      </c>
    </row>
    <row r="47" spans="1:11">
      <c r="A47" s="22"/>
      <c r="B47" s="22">
        <v>46</v>
      </c>
      <c r="C47" s="23" t="s">
        <v>154</v>
      </c>
      <c r="D47" s="22" t="str">
        <f t="shared" si="1"/>
        <v>0x102D</v>
      </c>
      <c r="E47" s="22" t="s">
        <v>15</v>
      </c>
      <c r="F47" s="22" t="s">
        <v>52</v>
      </c>
      <c r="G47" s="22" t="s">
        <v>153</v>
      </c>
      <c r="H47" s="22">
        <v>125</v>
      </c>
      <c r="I47" s="22">
        <v>1</v>
      </c>
      <c r="J47" s="23"/>
      <c r="K47" s="22" t="s">
        <v>55</v>
      </c>
    </row>
    <row r="48" ht="41.5" customHeight="1" spans="1:11">
      <c r="A48" s="22"/>
      <c r="B48" s="22">
        <v>47</v>
      </c>
      <c r="C48" s="23" t="s">
        <v>155</v>
      </c>
      <c r="D48" s="22" t="str">
        <f t="shared" si="1"/>
        <v>0x102E</v>
      </c>
      <c r="E48" s="22" t="s">
        <v>15</v>
      </c>
      <c r="F48" s="22" t="s">
        <v>52</v>
      </c>
      <c r="G48" s="22" t="s">
        <v>100</v>
      </c>
      <c r="H48" s="22">
        <v>0</v>
      </c>
      <c r="I48" s="22">
        <v>1</v>
      </c>
      <c r="J48" s="23" t="s">
        <v>156</v>
      </c>
      <c r="K48" s="22" t="s">
        <v>55</v>
      </c>
    </row>
    <row r="49" spans="1:11">
      <c r="A49" s="22"/>
      <c r="B49" s="24">
        <v>48</v>
      </c>
      <c r="C49" s="25" t="s">
        <v>38</v>
      </c>
      <c r="D49" s="24" t="str">
        <f t="shared" si="1"/>
        <v>0x102F</v>
      </c>
      <c r="E49" s="24" t="s">
        <v>15</v>
      </c>
      <c r="F49" s="24" t="s">
        <v>52</v>
      </c>
      <c r="G49" s="24" t="s">
        <v>117</v>
      </c>
      <c r="H49" s="24"/>
      <c r="I49" s="24"/>
      <c r="J49" s="25"/>
      <c r="K49" s="24"/>
    </row>
    <row r="50" ht="41.5" customHeight="1" spans="1:11">
      <c r="A50" s="22"/>
      <c r="B50" s="22">
        <v>49</v>
      </c>
      <c r="C50" s="23" t="s">
        <v>157</v>
      </c>
      <c r="D50" s="22" t="str">
        <f t="shared" si="1"/>
        <v>0x1030</v>
      </c>
      <c r="E50" s="22" t="s">
        <v>15</v>
      </c>
      <c r="F50" s="22" t="s">
        <v>52</v>
      </c>
      <c r="G50" s="22"/>
      <c r="H50" s="22"/>
      <c r="I50" s="22"/>
      <c r="J50" s="23" t="s">
        <v>38</v>
      </c>
      <c r="K50" s="22"/>
    </row>
    <row r="51" ht="41.5" customHeight="1" spans="1:11">
      <c r="A51" s="22"/>
      <c r="B51" s="22">
        <v>50</v>
      </c>
      <c r="C51" s="23" t="s">
        <v>158</v>
      </c>
      <c r="D51" s="22" t="str">
        <f t="shared" si="1"/>
        <v>0x1031</v>
      </c>
      <c r="E51" s="22" t="s">
        <v>15</v>
      </c>
      <c r="F51" s="22" t="s">
        <v>52</v>
      </c>
      <c r="G51" s="22" t="s">
        <v>100</v>
      </c>
      <c r="H51" s="22"/>
      <c r="I51" s="22"/>
      <c r="J51" s="23" t="s">
        <v>38</v>
      </c>
      <c r="K51" s="22"/>
    </row>
    <row r="52" ht="41.5" customHeight="1" spans="1:11">
      <c r="A52" s="22"/>
      <c r="B52" s="22">
        <v>51</v>
      </c>
      <c r="C52" s="23" t="s">
        <v>159</v>
      </c>
      <c r="D52" s="22" t="str">
        <f t="shared" si="1"/>
        <v>0x1032</v>
      </c>
      <c r="E52" s="22" t="s">
        <v>15</v>
      </c>
      <c r="F52" s="22" t="s">
        <v>52</v>
      </c>
      <c r="G52" s="22" t="s">
        <v>100</v>
      </c>
      <c r="H52" s="22">
        <v>0</v>
      </c>
      <c r="I52" s="22">
        <v>1</v>
      </c>
      <c r="J52" s="23" t="s">
        <v>160</v>
      </c>
      <c r="K52" s="22"/>
    </row>
    <row r="53" ht="41.5" customHeight="1" spans="1:11">
      <c r="A53" s="22"/>
      <c r="B53" s="22">
        <v>52</v>
      </c>
      <c r="C53" s="23" t="s">
        <v>161</v>
      </c>
      <c r="D53" s="22" t="str">
        <f t="shared" si="1"/>
        <v>0x1033</v>
      </c>
      <c r="E53" s="22" t="s">
        <v>15</v>
      </c>
      <c r="F53" s="22" t="s">
        <v>52</v>
      </c>
      <c r="G53" s="22" t="s">
        <v>100</v>
      </c>
      <c r="H53" s="22">
        <v>0</v>
      </c>
      <c r="I53" s="22">
        <v>1</v>
      </c>
      <c r="J53" s="23" t="s">
        <v>162</v>
      </c>
      <c r="K53" s="22"/>
    </row>
    <row r="54" ht="41.5" customHeight="1" spans="1:11">
      <c r="A54" s="22"/>
      <c r="B54" s="22">
        <v>53</v>
      </c>
      <c r="C54" s="23" t="s">
        <v>163</v>
      </c>
      <c r="D54" s="22" t="str">
        <f t="shared" si="1"/>
        <v>0x1034</v>
      </c>
      <c r="E54" s="22" t="s">
        <v>15</v>
      </c>
      <c r="F54" s="22" t="s">
        <v>52</v>
      </c>
      <c r="G54" s="22"/>
      <c r="H54" s="22"/>
      <c r="I54" s="22"/>
      <c r="J54" s="23" t="s">
        <v>38</v>
      </c>
      <c r="K54" s="22"/>
    </row>
    <row r="55" ht="41.5" customHeight="1" spans="1:11">
      <c r="A55" s="22"/>
      <c r="B55" s="22">
        <v>54</v>
      </c>
      <c r="C55" s="23" t="s">
        <v>164</v>
      </c>
      <c r="D55" s="22" t="str">
        <f t="shared" si="1"/>
        <v>0x1035</v>
      </c>
      <c r="E55" s="22" t="s">
        <v>15</v>
      </c>
      <c r="F55" s="22" t="s">
        <v>52</v>
      </c>
      <c r="G55" s="22"/>
      <c r="H55" s="22"/>
      <c r="I55" s="22"/>
      <c r="J55" s="23" t="s">
        <v>38</v>
      </c>
      <c r="K55" s="22"/>
    </row>
    <row r="56" ht="41.5" customHeight="1" spans="1:11">
      <c r="A56" s="22"/>
      <c r="B56" s="22">
        <v>55</v>
      </c>
      <c r="C56" s="23" t="s">
        <v>165</v>
      </c>
      <c r="D56" s="22" t="str">
        <f t="shared" si="1"/>
        <v>0x1036</v>
      </c>
      <c r="E56" s="22" t="s">
        <v>15</v>
      </c>
      <c r="F56" s="22" t="s">
        <v>84</v>
      </c>
      <c r="G56" s="22"/>
      <c r="H56" s="22"/>
      <c r="I56" s="22"/>
      <c r="J56" s="23" t="s">
        <v>38</v>
      </c>
      <c r="K56" s="22"/>
    </row>
    <row r="57" ht="41.5" customHeight="1" spans="1:11">
      <c r="A57" s="98" t="s">
        <v>166</v>
      </c>
      <c r="B57" s="22">
        <v>56</v>
      </c>
      <c r="C57" s="23" t="s">
        <v>167</v>
      </c>
      <c r="D57" s="22" t="str">
        <f t="shared" si="1"/>
        <v>0x1037</v>
      </c>
      <c r="E57" s="22" t="s">
        <v>15</v>
      </c>
      <c r="F57" s="22" t="s">
        <v>52</v>
      </c>
      <c r="G57" s="22" t="s">
        <v>168</v>
      </c>
      <c r="H57" s="22">
        <v>980</v>
      </c>
      <c r="I57" s="22" t="s">
        <v>82</v>
      </c>
      <c r="J57" s="23"/>
      <c r="K57" s="22" t="s">
        <v>55</v>
      </c>
    </row>
    <row r="58" ht="41.5" customHeight="1" spans="1:11">
      <c r="A58" s="22"/>
      <c r="B58" s="22">
        <v>57</v>
      </c>
      <c r="C58" s="23" t="s">
        <v>169</v>
      </c>
      <c r="D58" s="22" t="str">
        <f t="shared" si="1"/>
        <v>0x1038</v>
      </c>
      <c r="E58" s="22" t="s">
        <v>15</v>
      </c>
      <c r="F58" s="22" t="s">
        <v>52</v>
      </c>
      <c r="G58" s="22" t="s">
        <v>170</v>
      </c>
      <c r="H58" s="22">
        <v>580</v>
      </c>
      <c r="I58" s="22" t="s">
        <v>82</v>
      </c>
      <c r="J58" s="23"/>
      <c r="K58" s="22" t="s">
        <v>55</v>
      </c>
    </row>
    <row r="59" ht="70" spans="1:11">
      <c r="A59" s="98" t="s">
        <v>171</v>
      </c>
      <c r="B59" s="22">
        <v>58</v>
      </c>
      <c r="C59" s="23" t="s">
        <v>172</v>
      </c>
      <c r="D59" s="22" t="str">
        <f t="shared" si="1"/>
        <v>0x1039</v>
      </c>
      <c r="E59" s="22" t="s">
        <v>15</v>
      </c>
      <c r="F59" s="22" t="s">
        <v>52</v>
      </c>
      <c r="G59" s="22" t="s">
        <v>173</v>
      </c>
      <c r="H59" s="22">
        <v>145</v>
      </c>
      <c r="I59" s="22" t="s">
        <v>75</v>
      </c>
      <c r="J59" s="25" t="s">
        <v>174</v>
      </c>
      <c r="K59" s="22" t="s">
        <v>55</v>
      </c>
    </row>
    <row r="60" ht="70" spans="1:11">
      <c r="A60" s="22"/>
      <c r="B60" s="22">
        <v>59</v>
      </c>
      <c r="C60" s="31" t="s">
        <v>175</v>
      </c>
      <c r="D60" s="22" t="str">
        <f t="shared" si="1"/>
        <v>0x103A</v>
      </c>
      <c r="E60" s="22" t="s">
        <v>15</v>
      </c>
      <c r="F60" s="22" t="s">
        <v>52</v>
      </c>
      <c r="G60" s="22" t="s">
        <v>173</v>
      </c>
      <c r="H60" s="22">
        <v>145</v>
      </c>
      <c r="I60" s="22" t="s">
        <v>75</v>
      </c>
      <c r="J60" s="25" t="s">
        <v>176</v>
      </c>
      <c r="K60" s="22" t="s">
        <v>55</v>
      </c>
    </row>
    <row r="61" ht="41.5" customHeight="1" spans="1:11">
      <c r="A61" s="22"/>
      <c r="B61" s="22">
        <v>60</v>
      </c>
      <c r="C61" s="31" t="s">
        <v>177</v>
      </c>
      <c r="D61" s="22" t="str">
        <f t="shared" si="1"/>
        <v>0x103B</v>
      </c>
      <c r="E61" s="22" t="s">
        <v>15</v>
      </c>
      <c r="F61" s="22" t="s">
        <v>52</v>
      </c>
      <c r="G61" s="22" t="s">
        <v>153</v>
      </c>
      <c r="H61" s="22">
        <v>250</v>
      </c>
      <c r="I61" s="22" t="s">
        <v>178</v>
      </c>
      <c r="J61" s="23"/>
      <c r="K61" s="22" t="s">
        <v>55</v>
      </c>
    </row>
    <row r="62" ht="41.5" customHeight="1" spans="1:11">
      <c r="A62" s="22"/>
      <c r="B62" s="22">
        <v>61</v>
      </c>
      <c r="C62" s="31" t="s">
        <v>179</v>
      </c>
      <c r="D62" s="22" t="str">
        <f t="shared" si="1"/>
        <v>0x103C</v>
      </c>
      <c r="E62" s="22" t="s">
        <v>15</v>
      </c>
      <c r="F62" s="22" t="s">
        <v>52</v>
      </c>
      <c r="G62" s="22" t="s">
        <v>153</v>
      </c>
      <c r="H62" s="22">
        <v>250</v>
      </c>
      <c r="I62" s="22" t="s">
        <v>178</v>
      </c>
      <c r="J62" s="23"/>
      <c r="K62" s="22" t="s">
        <v>55</v>
      </c>
    </row>
    <row r="63" ht="41.5" customHeight="1" spans="1:11">
      <c r="A63" s="22" t="s">
        <v>180</v>
      </c>
      <c r="B63" s="22">
        <v>62</v>
      </c>
      <c r="C63" s="31" t="s">
        <v>181</v>
      </c>
      <c r="D63" s="22" t="str">
        <f t="shared" si="1"/>
        <v>0x103D</v>
      </c>
      <c r="E63" s="22" t="s">
        <v>15</v>
      </c>
      <c r="F63" s="22" t="s">
        <v>52</v>
      </c>
      <c r="G63" s="22" t="s">
        <v>182</v>
      </c>
      <c r="H63" s="22"/>
      <c r="I63" s="22">
        <v>0.01</v>
      </c>
      <c r="J63" s="22"/>
      <c r="K63" s="22" t="s">
        <v>55</v>
      </c>
    </row>
    <row r="64" ht="41.5" customHeight="1" spans="1:11">
      <c r="A64" s="22"/>
      <c r="B64" s="22">
        <v>63</v>
      </c>
      <c r="C64" s="31" t="s">
        <v>183</v>
      </c>
      <c r="D64" s="22" t="str">
        <f t="shared" si="1"/>
        <v>0x103E</v>
      </c>
      <c r="E64" s="22" t="s">
        <v>15</v>
      </c>
      <c r="F64" s="22" t="s">
        <v>52</v>
      </c>
      <c r="G64" s="22" t="s">
        <v>184</v>
      </c>
      <c r="H64" s="22"/>
      <c r="I64" s="22">
        <v>0.001</v>
      </c>
      <c r="J64" s="22"/>
      <c r="K64" s="22" t="s">
        <v>55</v>
      </c>
    </row>
    <row r="65" ht="41.5" customHeight="1" spans="1:14">
      <c r="A65" s="22"/>
      <c r="B65" s="22">
        <v>64</v>
      </c>
      <c r="C65" s="31" t="s">
        <v>185</v>
      </c>
      <c r="D65" s="22" t="str">
        <f t="shared" si="1"/>
        <v>0x103F</v>
      </c>
      <c r="E65" s="22" t="s">
        <v>15</v>
      </c>
      <c r="F65" s="22" t="s">
        <v>52</v>
      </c>
      <c r="G65" s="22" t="s">
        <v>182</v>
      </c>
      <c r="H65" s="22"/>
      <c r="I65" s="22">
        <v>0.01</v>
      </c>
      <c r="J65" s="22"/>
      <c r="K65" s="22" t="s">
        <v>55</v>
      </c>
    </row>
    <row r="66" ht="41.5" customHeight="1" spans="1:14">
      <c r="A66" s="22"/>
      <c r="B66" s="22">
        <v>65</v>
      </c>
      <c r="C66" s="31" t="s">
        <v>186</v>
      </c>
      <c r="D66" s="22" t="str">
        <f t="shared" si="1"/>
        <v>0x1040</v>
      </c>
      <c r="E66" s="22" t="s">
        <v>15</v>
      </c>
      <c r="F66" s="22" t="s">
        <v>52</v>
      </c>
      <c r="G66" s="22" t="s">
        <v>182</v>
      </c>
      <c r="H66" s="22"/>
      <c r="I66" s="22">
        <v>0.01</v>
      </c>
      <c r="J66" s="22"/>
      <c r="K66" s="22" t="s">
        <v>55</v>
      </c>
    </row>
    <row r="67" ht="41.5" customHeight="1" spans="1:14">
      <c r="A67" s="22"/>
      <c r="B67" s="22">
        <v>66</v>
      </c>
      <c r="C67" s="31" t="s">
        <v>187</v>
      </c>
      <c r="D67" s="22" t="str">
        <f t="shared" si="1"/>
        <v>0x1041</v>
      </c>
      <c r="E67" s="22" t="s">
        <v>15</v>
      </c>
      <c r="F67" s="22" t="s">
        <v>52</v>
      </c>
      <c r="G67" s="22" t="s">
        <v>182</v>
      </c>
      <c r="H67" s="22"/>
      <c r="I67" s="22">
        <v>0.01</v>
      </c>
      <c r="J67" s="22"/>
      <c r="K67" s="22" t="s">
        <v>55</v>
      </c>
    </row>
    <row r="68" ht="41.5" customHeight="1" spans="1:14">
      <c r="A68" s="22"/>
      <c r="B68" s="22">
        <v>67</v>
      </c>
      <c r="C68" s="31" t="s">
        <v>188</v>
      </c>
      <c r="D68" s="22" t="str">
        <f t="shared" si="1"/>
        <v>0x1042</v>
      </c>
      <c r="E68" s="22" t="s">
        <v>15</v>
      </c>
      <c r="F68" s="22" t="s">
        <v>52</v>
      </c>
      <c r="G68" s="22" t="s">
        <v>182</v>
      </c>
      <c r="H68" s="22"/>
      <c r="I68" s="22">
        <v>0.01</v>
      </c>
      <c r="J68" s="22"/>
      <c r="K68" s="22" t="s">
        <v>55</v>
      </c>
    </row>
    <row r="69" s="100" customFormat="1" ht="41.5" customHeight="1" spans="1:14">
      <c r="A69" s="22"/>
      <c r="B69" s="22">
        <v>68</v>
      </c>
      <c r="C69" s="31" t="s">
        <v>189</v>
      </c>
      <c r="D69" s="22" t="str">
        <f t="shared" si="1"/>
        <v>0x1043</v>
      </c>
      <c r="E69" s="22" t="s">
        <v>15</v>
      </c>
      <c r="F69" s="22" t="s">
        <v>52</v>
      </c>
      <c r="G69" s="22" t="s">
        <v>190</v>
      </c>
      <c r="H69" s="22"/>
      <c r="I69" s="22">
        <v>0.001</v>
      </c>
      <c r="J69" s="22"/>
      <c r="K69" s="22" t="s">
        <v>55</v>
      </c>
      <c r="L69" s="46"/>
      <c r="M69" s="46"/>
      <c r="N69" s="46"/>
    </row>
    <row r="70" s="100" customFormat="1" ht="41.5" customHeight="1" spans="1:14">
      <c r="A70" s="22"/>
      <c r="B70" s="22">
        <v>69</v>
      </c>
      <c r="C70" s="31" t="s">
        <v>191</v>
      </c>
      <c r="D70" s="22" t="str">
        <f t="shared" si="1"/>
        <v>0x1044</v>
      </c>
      <c r="E70" s="22" t="s">
        <v>15</v>
      </c>
      <c r="F70" s="22" t="s">
        <v>52</v>
      </c>
      <c r="G70" s="22" t="s">
        <v>190</v>
      </c>
      <c r="H70" s="22"/>
      <c r="I70" s="22">
        <v>0.001</v>
      </c>
      <c r="J70" s="22"/>
      <c r="K70" s="22" t="s">
        <v>55</v>
      </c>
      <c r="L70" s="46"/>
      <c r="M70" s="46"/>
      <c r="N70" s="46"/>
    </row>
    <row r="71" s="100" customFormat="1" ht="41.5" customHeight="1" spans="1:14">
      <c r="A71" s="22"/>
      <c r="B71" s="22">
        <v>70</v>
      </c>
      <c r="C71" s="23" t="s">
        <v>192</v>
      </c>
      <c r="D71" s="22" t="s">
        <v>193</v>
      </c>
      <c r="E71" s="22" t="s">
        <v>15</v>
      </c>
      <c r="F71" s="22" t="s">
        <v>52</v>
      </c>
      <c r="G71" s="22" t="s">
        <v>194</v>
      </c>
      <c r="H71" s="22"/>
      <c r="I71" s="22">
        <v>0.001</v>
      </c>
      <c r="K71" s="22" t="s">
        <v>55</v>
      </c>
      <c r="L71" s="46"/>
      <c r="M71" s="46"/>
      <c r="N71" s="46"/>
    </row>
    <row r="72" s="100" customFormat="1" ht="41.5" customHeight="1" spans="1:14">
      <c r="A72" s="22"/>
      <c r="B72" s="22">
        <v>71</v>
      </c>
      <c r="C72" s="23" t="s">
        <v>195</v>
      </c>
      <c r="D72" s="22" t="s">
        <v>196</v>
      </c>
      <c r="E72" s="22" t="s">
        <v>15</v>
      </c>
      <c r="F72" s="22" t="s">
        <v>52</v>
      </c>
      <c r="G72" s="22" t="s">
        <v>194</v>
      </c>
      <c r="H72" s="22"/>
      <c r="I72" s="22">
        <v>0.001</v>
      </c>
      <c r="K72" s="22" t="s">
        <v>55</v>
      </c>
      <c r="L72" s="46"/>
      <c r="M72" s="46"/>
      <c r="N72" s="46"/>
    </row>
    <row r="73" s="100" customFormat="1" ht="41.5" customHeight="1" spans="1:14">
      <c r="A73" s="22"/>
      <c r="B73" s="22">
        <v>72</v>
      </c>
      <c r="C73" s="23" t="s">
        <v>197</v>
      </c>
      <c r="D73" s="22" t="s">
        <v>198</v>
      </c>
      <c r="E73" s="22" t="s">
        <v>15</v>
      </c>
      <c r="F73" s="22" t="s">
        <v>52</v>
      </c>
      <c r="G73" s="22" t="s">
        <v>194</v>
      </c>
      <c r="H73" s="22"/>
      <c r="I73" s="22">
        <v>0.001</v>
      </c>
      <c r="K73" s="22" t="s">
        <v>55</v>
      </c>
      <c r="L73" s="46"/>
      <c r="M73" s="46"/>
      <c r="N73" s="46"/>
    </row>
    <row r="74" s="100" customFormat="1" ht="41.5" customHeight="1" spans="1:14">
      <c r="A74" s="22"/>
      <c r="B74" s="22">
        <v>73</v>
      </c>
      <c r="C74" s="23" t="s">
        <v>199</v>
      </c>
      <c r="D74" s="22" t="s">
        <v>200</v>
      </c>
      <c r="E74" s="22" t="s">
        <v>15</v>
      </c>
      <c r="F74" s="22" t="s">
        <v>52</v>
      </c>
      <c r="G74" s="22" t="s">
        <v>194</v>
      </c>
      <c r="H74" s="22"/>
      <c r="I74" s="22">
        <v>0.001</v>
      </c>
      <c r="K74" s="22" t="s">
        <v>55</v>
      </c>
      <c r="L74" s="46"/>
      <c r="M74" s="46"/>
      <c r="N74" s="46"/>
    </row>
    <row r="75" s="46" customFormat="1" ht="41.5" customHeight="1" spans="1:14">
      <c r="A75" s="22"/>
      <c r="B75" s="22">
        <v>74</v>
      </c>
      <c r="C75" s="23" t="s">
        <v>201</v>
      </c>
      <c r="D75" s="22" t="str">
        <f t="shared" ref="D75:D85" si="2">CONCATENATE("0x",DEC2HEX((B75)+4095,4))</f>
        <v>0x1049</v>
      </c>
      <c r="E75" s="22" t="s">
        <v>15</v>
      </c>
      <c r="F75" s="22" t="s">
        <v>52</v>
      </c>
      <c r="G75" s="22"/>
      <c r="H75" s="22"/>
      <c r="I75" s="22"/>
      <c r="J75" s="23" t="s">
        <v>38</v>
      </c>
      <c r="K75" s="22"/>
    </row>
    <row r="76" s="46" customFormat="1" ht="41.5" customHeight="1" spans="1:14">
      <c r="A76" s="22"/>
      <c r="B76" s="22">
        <v>75</v>
      </c>
      <c r="C76" s="31" t="s">
        <v>202</v>
      </c>
      <c r="D76" s="22" t="str">
        <f t="shared" si="2"/>
        <v>0x104A</v>
      </c>
      <c r="E76" s="22" t="s">
        <v>15</v>
      </c>
      <c r="F76" s="22" t="s">
        <v>52</v>
      </c>
      <c r="G76" s="22"/>
      <c r="H76" s="22"/>
      <c r="I76" s="22"/>
      <c r="J76" s="23" t="s">
        <v>38</v>
      </c>
      <c r="K76" s="22"/>
    </row>
    <row r="77" s="46" customFormat="1" ht="41.5" customHeight="1" spans="1:14">
      <c r="A77" s="22"/>
      <c r="B77" s="22">
        <v>76</v>
      </c>
      <c r="C77" s="31" t="s">
        <v>203</v>
      </c>
      <c r="D77" s="22" t="str">
        <f t="shared" si="2"/>
        <v>0x104B</v>
      </c>
      <c r="E77" s="22" t="s">
        <v>15</v>
      </c>
      <c r="F77" s="22" t="s">
        <v>52</v>
      </c>
      <c r="G77" s="22"/>
      <c r="H77" s="22"/>
      <c r="I77" s="22"/>
      <c r="J77" s="23" t="s">
        <v>38</v>
      </c>
      <c r="K77" s="22"/>
    </row>
    <row r="78" s="46" customFormat="1" ht="41.5" customHeight="1" spans="1:14">
      <c r="A78" s="22"/>
      <c r="B78" s="22">
        <v>77</v>
      </c>
      <c r="C78" s="31" t="s">
        <v>204</v>
      </c>
      <c r="D78" s="22" t="str">
        <f t="shared" si="2"/>
        <v>0x104C</v>
      </c>
      <c r="E78" s="22" t="s">
        <v>15</v>
      </c>
      <c r="F78" s="22" t="s">
        <v>52</v>
      </c>
      <c r="G78" s="22"/>
      <c r="H78" s="22"/>
      <c r="I78" s="22"/>
      <c r="J78" s="23" t="s">
        <v>38</v>
      </c>
      <c r="K78" s="22"/>
    </row>
    <row r="79" s="46" customFormat="1" ht="41.5" customHeight="1" spans="1:14">
      <c r="A79" s="22"/>
      <c r="B79" s="22">
        <v>78</v>
      </c>
      <c r="C79" s="31" t="s">
        <v>205</v>
      </c>
      <c r="D79" s="22" t="str">
        <f t="shared" si="2"/>
        <v>0x104D</v>
      </c>
      <c r="E79" s="22" t="s">
        <v>15</v>
      </c>
      <c r="F79" s="22" t="s">
        <v>52</v>
      </c>
      <c r="G79" s="118" t="s">
        <v>206</v>
      </c>
      <c r="H79" s="22">
        <v>150</v>
      </c>
      <c r="I79" s="22" t="s">
        <v>207</v>
      </c>
      <c r="J79" s="23"/>
      <c r="K79" s="22"/>
    </row>
    <row r="80" s="46" customFormat="1" ht="41.5" customHeight="1" spans="1:14">
      <c r="A80" s="22"/>
      <c r="B80" s="22">
        <v>79</v>
      </c>
      <c r="C80" s="31" t="s">
        <v>208</v>
      </c>
      <c r="D80" s="22" t="str">
        <f t="shared" si="2"/>
        <v>0x104E</v>
      </c>
      <c r="E80" s="22" t="s">
        <v>15</v>
      </c>
      <c r="F80" s="22" t="s">
        <v>52</v>
      </c>
      <c r="G80" s="118" t="s">
        <v>206</v>
      </c>
      <c r="H80" s="22">
        <v>150</v>
      </c>
      <c r="I80" s="22" t="s">
        <v>207</v>
      </c>
      <c r="J80" s="23"/>
      <c r="K80" s="22"/>
    </row>
    <row r="81" s="46" customFormat="1" ht="41.5" customHeight="1" spans="1:13">
      <c r="A81" s="22"/>
      <c r="B81" s="22">
        <v>80</v>
      </c>
      <c r="C81" s="31" t="s">
        <v>209</v>
      </c>
      <c r="D81" s="22" t="str">
        <f t="shared" si="2"/>
        <v>0x104F</v>
      </c>
      <c r="E81" s="22" t="s">
        <v>15</v>
      </c>
      <c r="F81" s="22" t="s">
        <v>52</v>
      </c>
      <c r="G81" s="118" t="s">
        <v>206</v>
      </c>
      <c r="H81" s="22">
        <v>150</v>
      </c>
      <c r="I81" s="22" t="s">
        <v>207</v>
      </c>
      <c r="J81" s="23"/>
      <c r="K81" s="22"/>
    </row>
    <row r="82" s="46" customFormat="1" ht="41.5" customHeight="1" spans="1:13">
      <c r="A82" s="22"/>
      <c r="B82" s="22">
        <v>81</v>
      </c>
      <c r="C82" s="31" t="s">
        <v>210</v>
      </c>
      <c r="D82" s="22" t="str">
        <f t="shared" si="2"/>
        <v>0x1050</v>
      </c>
      <c r="E82" s="22" t="s">
        <v>15</v>
      </c>
      <c r="F82" s="22" t="s">
        <v>52</v>
      </c>
      <c r="G82" s="118" t="s">
        <v>206</v>
      </c>
      <c r="H82" s="22">
        <v>150</v>
      </c>
      <c r="I82" s="22" t="s">
        <v>207</v>
      </c>
      <c r="J82" s="23"/>
    </row>
    <row r="83" s="46" customFormat="1" ht="41.5" customHeight="1" spans="1:13">
      <c r="A83" s="22"/>
      <c r="B83" s="22">
        <v>82</v>
      </c>
      <c r="C83" s="31" t="s">
        <v>211</v>
      </c>
      <c r="D83" s="22" t="str">
        <f t="shared" si="2"/>
        <v>0x1051</v>
      </c>
      <c r="E83" s="22" t="s">
        <v>15</v>
      </c>
      <c r="F83" s="22" t="s">
        <v>52</v>
      </c>
      <c r="G83" s="118" t="s">
        <v>212</v>
      </c>
      <c r="H83" s="22">
        <v>100</v>
      </c>
      <c r="I83" s="46" t="s">
        <v>213</v>
      </c>
      <c r="J83" s="23"/>
      <c r="K83" s="22" t="s">
        <v>55</v>
      </c>
    </row>
    <row r="84" s="46" customFormat="1" ht="41.5" customHeight="1" spans="1:13">
      <c r="A84" s="96"/>
      <c r="B84" s="22">
        <v>83</v>
      </c>
      <c r="C84" s="54" t="s">
        <v>214</v>
      </c>
      <c r="D84" s="22" t="str">
        <f t="shared" si="2"/>
        <v>0x1052</v>
      </c>
      <c r="E84" s="22" t="s">
        <v>15</v>
      </c>
      <c r="F84" s="22" t="s">
        <v>52</v>
      </c>
      <c r="G84" s="46" t="s">
        <v>153</v>
      </c>
      <c r="H84" s="22">
        <v>300</v>
      </c>
      <c r="I84" s="46">
        <v>1</v>
      </c>
      <c r="J84" s="22" t="s">
        <v>215</v>
      </c>
      <c r="K84" s="96"/>
    </row>
    <row r="85" s="112" customFormat="1" ht="41.5" customHeight="1" spans="1:13">
      <c r="A85" s="114"/>
      <c r="B85" s="41">
        <v>84</v>
      </c>
      <c r="C85" s="115" t="s">
        <v>216</v>
      </c>
      <c r="D85" s="41" t="str">
        <f t="shared" si="2"/>
        <v>0x1053</v>
      </c>
      <c r="E85" s="41" t="s">
        <v>15</v>
      </c>
      <c r="F85" s="41" t="s">
        <v>52</v>
      </c>
      <c r="G85" s="112" t="s">
        <v>217</v>
      </c>
      <c r="H85" s="41">
        <v>230</v>
      </c>
      <c r="I85" s="112">
        <v>1</v>
      </c>
      <c r="J85" s="41" t="s">
        <v>215</v>
      </c>
      <c r="K85" s="114"/>
    </row>
    <row r="86" s="46" customFormat="1" ht="41.5" customHeight="1" spans="1:13">
      <c r="A86" s="96"/>
      <c r="B86" s="22">
        <v>85</v>
      </c>
      <c r="C86" s="54" t="s">
        <v>38</v>
      </c>
      <c r="D86" s="22" t="str">
        <f t="shared" ref="D86:D95" si="3">CONCATENATE("0x",DEC2HEX((B86)+4095,4))</f>
        <v>0x1054</v>
      </c>
      <c r="E86" s="22" t="s">
        <v>15</v>
      </c>
      <c r="F86" s="96"/>
      <c r="G86" s="94"/>
      <c r="H86" s="94"/>
      <c r="I86" s="94"/>
      <c r="J86" s="22"/>
      <c r="K86" s="96"/>
    </row>
    <row r="87" s="46" customFormat="1" ht="41.5" customHeight="1" spans="1:13">
      <c r="A87" s="94"/>
      <c r="B87" s="22">
        <v>86</v>
      </c>
      <c r="C87" s="54" t="s">
        <v>38</v>
      </c>
      <c r="D87" s="22" t="str">
        <f t="shared" si="3"/>
        <v>0x1055</v>
      </c>
      <c r="E87" s="22" t="s">
        <v>15</v>
      </c>
      <c r="F87" s="94"/>
      <c r="G87" s="94"/>
      <c r="H87" s="94"/>
      <c r="I87" s="94"/>
      <c r="J87" s="22"/>
      <c r="K87" s="96"/>
    </row>
    <row r="88" s="46" customFormat="1" ht="41.5" customHeight="1" spans="1:13">
      <c r="A88" s="94"/>
      <c r="B88" s="22">
        <v>87</v>
      </c>
      <c r="C88" s="54" t="s">
        <v>38</v>
      </c>
      <c r="D88" s="22" t="str">
        <f t="shared" si="3"/>
        <v>0x1056</v>
      </c>
      <c r="E88" s="22" t="s">
        <v>15</v>
      </c>
      <c r="F88" s="94"/>
      <c r="G88" s="94"/>
      <c r="H88" s="94"/>
      <c r="I88" s="94"/>
      <c r="J88" s="22"/>
      <c r="K88" s="96"/>
    </row>
    <row r="89" s="46" customFormat="1" ht="41.5" customHeight="1" spans="1:13">
      <c r="A89" s="94"/>
      <c r="B89" s="22">
        <v>88</v>
      </c>
      <c r="C89" s="54" t="s">
        <v>38</v>
      </c>
      <c r="D89" s="22" t="str">
        <f t="shared" si="3"/>
        <v>0x1057</v>
      </c>
      <c r="E89" s="22" t="s">
        <v>15</v>
      </c>
      <c r="F89" s="94"/>
      <c r="G89" s="94"/>
      <c r="H89" s="94"/>
      <c r="I89" s="94"/>
      <c r="J89" s="22"/>
      <c r="K89" s="96"/>
    </row>
    <row r="90" s="46" customFormat="1" ht="41.5" customHeight="1" spans="1:13">
      <c r="A90" s="94"/>
      <c r="B90" s="22">
        <v>89</v>
      </c>
      <c r="C90" s="54" t="s">
        <v>38</v>
      </c>
      <c r="D90" s="22" t="str">
        <f t="shared" si="3"/>
        <v>0x1058</v>
      </c>
      <c r="E90" s="22" t="s">
        <v>15</v>
      </c>
      <c r="F90" s="94"/>
      <c r="G90" s="94"/>
      <c r="H90" s="94"/>
      <c r="I90" s="94"/>
      <c r="J90" s="22"/>
      <c r="K90" s="96"/>
    </row>
    <row r="91" s="46" customFormat="1" ht="41.5" customHeight="1" spans="1:13">
      <c r="A91" s="94"/>
      <c r="B91" s="22">
        <v>90</v>
      </c>
      <c r="C91" s="54" t="s">
        <v>38</v>
      </c>
      <c r="D91" s="22" t="str">
        <f t="shared" si="3"/>
        <v>0x1059</v>
      </c>
      <c r="E91" s="22" t="s">
        <v>15</v>
      </c>
      <c r="F91" s="94"/>
      <c r="G91" s="94"/>
      <c r="H91" s="94"/>
      <c r="I91" s="94"/>
      <c r="J91" s="22"/>
      <c r="K91" s="96"/>
    </row>
    <row r="92" s="46" customFormat="1" ht="41.5" customHeight="1" spans="1:13">
      <c r="A92" s="94"/>
      <c r="B92" s="22">
        <v>91</v>
      </c>
      <c r="C92" s="54" t="s">
        <v>38</v>
      </c>
      <c r="D92" s="22" t="str">
        <f t="shared" si="3"/>
        <v>0x105A</v>
      </c>
      <c r="E92" s="22" t="s">
        <v>15</v>
      </c>
      <c r="F92" s="94"/>
      <c r="G92" s="94"/>
      <c r="H92" s="94"/>
      <c r="I92" s="94"/>
      <c r="J92" s="22"/>
      <c r="K92" s="96"/>
    </row>
    <row r="93" ht="41.5" customHeight="1" spans="1:13">
      <c r="A93" s="94"/>
      <c r="B93" s="22">
        <v>92</v>
      </c>
      <c r="C93" s="54" t="s">
        <v>38</v>
      </c>
      <c r="D93" s="22" t="str">
        <f t="shared" si="3"/>
        <v>0x105B</v>
      </c>
      <c r="E93" s="22" t="s">
        <v>15</v>
      </c>
      <c r="F93" s="94"/>
      <c r="G93" s="94"/>
      <c r="H93" s="94"/>
      <c r="I93" s="94"/>
      <c r="J93" s="22"/>
    </row>
    <row r="94" ht="41.5" customHeight="1" spans="1:13">
      <c r="A94" s="94"/>
      <c r="B94" s="22">
        <v>93</v>
      </c>
      <c r="C94" s="54" t="s">
        <v>38</v>
      </c>
      <c r="D94" s="22" t="str">
        <f t="shared" si="3"/>
        <v>0x105C</v>
      </c>
      <c r="E94" s="22" t="s">
        <v>15</v>
      </c>
      <c r="F94" s="94"/>
      <c r="G94" s="94"/>
      <c r="H94" s="94"/>
      <c r="I94" s="94"/>
      <c r="J94" s="22"/>
    </row>
    <row r="95" ht="41.5" customHeight="1" spans="1:13">
      <c r="A95" s="94"/>
      <c r="B95" s="22">
        <v>94</v>
      </c>
      <c r="C95" s="54" t="s">
        <v>38</v>
      </c>
      <c r="D95" s="22" t="str">
        <f t="shared" si="3"/>
        <v>0x105D</v>
      </c>
      <c r="E95" s="22" t="s">
        <v>15</v>
      </c>
      <c r="F95" s="94"/>
      <c r="G95" s="94"/>
      <c r="H95" s="94"/>
      <c r="I95" s="94"/>
      <c r="J95" s="22"/>
    </row>
    <row r="96" ht="41.5" customHeight="1" spans="1:13">
      <c r="A96" s="94"/>
      <c r="B96" s="94"/>
      <c r="C96" s="59"/>
      <c r="D96" s="94"/>
      <c r="E96" s="94"/>
      <c r="F96" s="94"/>
      <c r="G96" s="94"/>
      <c r="H96" s="94"/>
      <c r="I96" s="94"/>
      <c r="J96" s="22"/>
      <c r="L96" s="102"/>
      <c r="M96" s="102"/>
    </row>
    <row r="97" ht="41.5" customHeight="1" spans="1:13">
      <c r="A97" s="94"/>
      <c r="B97" s="94"/>
      <c r="C97" s="59"/>
      <c r="D97" s="94"/>
      <c r="E97" s="94"/>
      <c r="F97" s="94"/>
      <c r="G97" s="94"/>
      <c r="H97" s="94"/>
      <c r="I97" s="94"/>
      <c r="J97" s="22"/>
      <c r="L97" s="94"/>
      <c r="M97" s="94"/>
    </row>
    <row r="98" ht="41.5" customHeight="1" spans="1:13">
      <c r="A98" s="94"/>
      <c r="B98" s="94"/>
      <c r="C98" s="59"/>
      <c r="D98" s="94"/>
      <c r="E98" s="94"/>
      <c r="F98" s="94"/>
      <c r="G98" s="94"/>
      <c r="H98" s="94"/>
      <c r="I98" s="94"/>
      <c r="J98" s="22"/>
    </row>
    <row r="99" ht="41.5" customHeight="1" spans="1:13">
      <c r="A99" s="94"/>
      <c r="B99" s="94"/>
      <c r="C99" s="59"/>
      <c r="D99" s="94"/>
      <c r="E99" s="94"/>
      <c r="F99" s="94"/>
      <c r="G99" s="94"/>
      <c r="H99" s="94"/>
      <c r="I99" s="94"/>
      <c r="J99" s="22"/>
    </row>
    <row r="100" ht="41.5" customHeight="1" spans="1:13">
      <c r="A100" s="94"/>
      <c r="B100" s="94"/>
      <c r="C100" s="59"/>
      <c r="D100" s="94"/>
      <c r="E100" s="94"/>
      <c r="F100" s="94"/>
      <c r="G100" s="94"/>
      <c r="H100" s="94"/>
      <c r="I100" s="94"/>
      <c r="J100" s="22"/>
      <c r="K100" s="46"/>
    </row>
    <row r="101" ht="41.5" customHeight="1" spans="1:13">
      <c r="A101" s="94"/>
      <c r="B101" s="94"/>
      <c r="C101" s="59"/>
      <c r="D101" s="94"/>
      <c r="E101" s="94"/>
      <c r="F101" s="94"/>
      <c r="G101" s="94"/>
      <c r="H101" s="94"/>
      <c r="I101" s="94"/>
      <c r="J101" s="22"/>
      <c r="K101" s="46"/>
    </row>
    <row r="102" ht="41.5" customHeight="1" spans="1:13">
      <c r="A102" s="94"/>
      <c r="B102" s="94"/>
      <c r="C102" s="59"/>
      <c r="D102" s="94"/>
      <c r="E102" s="94"/>
      <c r="F102" s="94"/>
      <c r="G102" s="94"/>
      <c r="H102" s="94"/>
      <c r="I102" s="94"/>
      <c r="J102" s="22"/>
      <c r="K102" s="46"/>
    </row>
    <row r="103" ht="41.5" customHeight="1" spans="1:13">
      <c r="A103" s="94"/>
      <c r="B103" s="94"/>
      <c r="C103" s="59"/>
      <c r="D103" s="94"/>
      <c r="E103" s="94"/>
      <c r="F103" s="94"/>
      <c r="G103" s="94"/>
      <c r="H103" s="94"/>
      <c r="I103" s="94"/>
      <c r="J103" s="22"/>
      <c r="K103" s="46"/>
    </row>
    <row r="104" ht="41.5" customHeight="1" spans="1:13">
      <c r="A104" s="94"/>
      <c r="B104" s="94"/>
      <c r="C104" s="59"/>
      <c r="D104" s="94"/>
      <c r="E104" s="94"/>
      <c r="F104" s="94"/>
      <c r="G104" s="94"/>
      <c r="H104" s="94"/>
      <c r="I104" s="94"/>
      <c r="J104" s="22"/>
      <c r="K104" s="46"/>
    </row>
    <row r="105" ht="41.5" customHeight="1" spans="1:13">
      <c r="A105" s="94"/>
      <c r="B105" s="94"/>
      <c r="C105" s="59"/>
      <c r="D105" s="94"/>
      <c r="E105" s="94"/>
      <c r="F105" s="94"/>
      <c r="G105" s="94"/>
      <c r="H105" s="94"/>
      <c r="I105" s="94"/>
      <c r="J105" s="22"/>
      <c r="K105" s="46"/>
    </row>
    <row r="106" ht="41.5" customHeight="1" spans="1:13">
      <c r="A106" s="94"/>
      <c r="B106" s="94"/>
      <c r="C106" s="59"/>
      <c r="D106" s="94"/>
      <c r="E106" s="94"/>
      <c r="F106" s="94"/>
      <c r="G106" s="94"/>
      <c r="H106" s="94"/>
      <c r="I106" s="94"/>
      <c r="J106" s="22"/>
      <c r="K106" s="46"/>
    </row>
    <row r="107" ht="41.5" customHeight="1" spans="1:13">
      <c r="A107" s="94"/>
      <c r="B107" s="94"/>
      <c r="C107" s="59"/>
      <c r="D107" s="94"/>
      <c r="E107" s="94"/>
      <c r="F107" s="94"/>
      <c r="G107" s="94"/>
      <c r="H107" s="94"/>
      <c r="I107" s="94"/>
      <c r="J107" s="22"/>
      <c r="K107" s="46"/>
    </row>
    <row r="108" ht="41.5" customHeight="1" spans="1:13">
      <c r="A108" s="94"/>
      <c r="B108" s="94"/>
      <c r="C108" s="59"/>
      <c r="D108" s="94"/>
      <c r="E108" s="94"/>
      <c r="F108" s="94"/>
      <c r="G108" s="94"/>
      <c r="H108" s="94"/>
      <c r="I108" s="94"/>
      <c r="J108" s="22"/>
      <c r="K108" s="46"/>
    </row>
    <row r="109" ht="41.5" customHeight="1" spans="1:13">
      <c r="A109" s="94"/>
      <c r="B109" s="94"/>
      <c r="C109" s="59"/>
      <c r="D109" s="94"/>
      <c r="E109" s="94"/>
      <c r="F109" s="94"/>
      <c r="G109" s="94"/>
      <c r="H109" s="94"/>
      <c r="I109" s="94"/>
      <c r="J109" s="22"/>
      <c r="K109" s="46"/>
    </row>
    <row r="110" ht="41.5" customHeight="1" spans="1:13">
      <c r="A110" s="94"/>
      <c r="B110" s="94"/>
      <c r="C110" s="59"/>
      <c r="D110" s="94"/>
      <c r="E110" s="94"/>
      <c r="F110" s="94"/>
      <c r="G110" s="94"/>
      <c r="H110" s="94"/>
      <c r="I110" s="94"/>
      <c r="J110" s="22"/>
      <c r="K110" s="46"/>
    </row>
    <row r="111" ht="41.5" customHeight="1" spans="1:13">
      <c r="A111" s="94"/>
      <c r="B111" s="94"/>
      <c r="C111" s="59"/>
      <c r="D111" s="94"/>
      <c r="E111" s="94"/>
      <c r="F111" s="94"/>
      <c r="G111" s="94"/>
      <c r="H111" s="94"/>
      <c r="I111" s="94"/>
      <c r="K111" s="46"/>
    </row>
    <row r="112" ht="41.5" customHeight="1" spans="1:13">
      <c r="A112" s="94"/>
      <c r="B112" s="94"/>
      <c r="C112" s="59"/>
      <c r="D112" s="94"/>
      <c r="E112" s="94"/>
      <c r="F112" s="94"/>
      <c r="G112" s="94"/>
      <c r="H112" s="94"/>
      <c r="I112" s="94"/>
      <c r="K112" s="46"/>
    </row>
    <row r="113" ht="41.5" customHeight="1" spans="1:16">
      <c r="A113" s="94"/>
      <c r="B113" s="94"/>
      <c r="C113" s="59"/>
      <c r="D113" s="94"/>
      <c r="E113" s="94"/>
      <c r="F113" s="94"/>
      <c r="G113" s="94"/>
      <c r="H113" s="94"/>
      <c r="I113" s="94"/>
      <c r="J113" s="59"/>
      <c r="K113" s="46"/>
    </row>
    <row r="114" ht="41.5" customHeight="1" spans="1:16">
      <c r="A114" s="94"/>
      <c r="B114" s="94"/>
      <c r="C114" s="59"/>
      <c r="D114" s="94"/>
      <c r="E114" s="94"/>
      <c r="F114" s="94"/>
      <c r="G114" s="94"/>
      <c r="H114" s="94"/>
      <c r="I114" s="94"/>
      <c r="K114" s="46"/>
    </row>
    <row r="115" ht="41.5" customHeight="1" spans="1:16">
      <c r="A115" s="94"/>
      <c r="B115" s="94"/>
      <c r="C115" s="59"/>
      <c r="D115" s="94"/>
      <c r="E115" s="94"/>
      <c r="F115" s="94"/>
      <c r="G115" s="94"/>
      <c r="H115" s="94"/>
      <c r="I115" s="94"/>
      <c r="K115" s="46"/>
    </row>
    <row r="116" s="46" customFormat="1" ht="41.5" customHeight="1" spans="1:16">
      <c r="A116" s="94"/>
      <c r="B116" s="94"/>
      <c r="C116" s="59"/>
      <c r="D116" s="94"/>
      <c r="E116" s="94"/>
      <c r="F116" s="94"/>
      <c r="G116" s="94"/>
      <c r="H116" s="94"/>
      <c r="I116" s="94"/>
      <c r="J116" s="59"/>
      <c r="K116" s="96"/>
    </row>
    <row r="117" s="46" customFormat="1" ht="41.5" customHeight="1" spans="1:16">
      <c r="A117" s="94"/>
      <c r="B117" s="94"/>
      <c r="C117" s="59"/>
      <c r="D117" s="94"/>
      <c r="E117" s="94"/>
      <c r="F117" s="94"/>
      <c r="G117" s="94"/>
      <c r="H117" s="94"/>
      <c r="I117" s="94"/>
      <c r="J117" s="54"/>
      <c r="K117" s="96"/>
    </row>
    <row r="118" s="46" customFormat="1" ht="41.5" customHeight="1" spans="1:16">
      <c r="A118" s="94"/>
      <c r="B118" s="94"/>
      <c r="C118" s="59"/>
      <c r="D118" s="94"/>
      <c r="E118" s="94"/>
      <c r="F118" s="94"/>
      <c r="G118" s="94"/>
      <c r="H118" s="94"/>
      <c r="I118" s="94"/>
      <c r="J118" s="54"/>
      <c r="K118" s="59"/>
      <c r="L118" s="59"/>
      <c r="M118" s="59"/>
      <c r="N118" s="59"/>
      <c r="O118" s="59"/>
      <c r="P118" s="59"/>
    </row>
    <row r="119" s="46" customFormat="1" ht="41.5" customHeight="1" spans="1:16">
      <c r="A119" s="94"/>
      <c r="B119" s="94"/>
      <c r="C119" s="59"/>
      <c r="D119" s="94"/>
      <c r="E119" s="94"/>
      <c r="F119" s="94"/>
      <c r="G119" s="94"/>
      <c r="H119" s="94"/>
      <c r="I119" s="94"/>
      <c r="J119" s="59"/>
      <c r="K119" s="59"/>
      <c r="L119" s="59"/>
      <c r="M119" s="59"/>
      <c r="N119" s="59"/>
      <c r="O119" s="59"/>
      <c r="P119" s="59"/>
    </row>
    <row r="120" s="46" customFormat="1" ht="41.5" customHeight="1" spans="1:16">
      <c r="A120" s="94"/>
      <c r="B120" s="94"/>
      <c r="C120" s="59"/>
      <c r="D120" s="94"/>
      <c r="E120" s="94"/>
      <c r="F120" s="94"/>
      <c r="G120" s="94"/>
      <c r="H120" s="94"/>
      <c r="I120" s="94"/>
      <c r="J120" s="54"/>
      <c r="K120" s="59"/>
      <c r="L120" s="59"/>
      <c r="M120" s="59"/>
      <c r="N120" s="59"/>
      <c r="O120" s="59"/>
      <c r="P120" s="59"/>
    </row>
    <row r="121" s="46" customFormat="1" ht="41.5" customHeight="1" spans="1:16">
      <c r="A121" s="94"/>
      <c r="B121" s="94"/>
      <c r="C121" s="59"/>
      <c r="D121" s="94"/>
      <c r="E121" s="94"/>
      <c r="F121" s="94"/>
      <c r="G121" s="94"/>
      <c r="H121" s="94"/>
      <c r="I121" s="94"/>
      <c r="J121" s="54"/>
      <c r="K121" s="59"/>
      <c r="L121" s="59"/>
      <c r="M121" s="59"/>
      <c r="N121" s="59"/>
      <c r="O121" s="59"/>
      <c r="P121" s="59"/>
    </row>
    <row r="122" s="46" customFormat="1" ht="41.5" customHeight="1" spans="1:16">
      <c r="A122" s="94"/>
      <c r="B122" s="94"/>
      <c r="C122" s="59"/>
      <c r="D122" s="94"/>
      <c r="E122" s="94"/>
      <c r="F122" s="94"/>
      <c r="G122" s="94"/>
      <c r="H122" s="94"/>
      <c r="I122" s="94"/>
      <c r="J122" s="59"/>
      <c r="K122" s="59"/>
      <c r="L122" s="59"/>
      <c r="M122" s="59"/>
      <c r="N122" s="59"/>
      <c r="O122" s="59"/>
      <c r="P122" s="59"/>
    </row>
    <row r="123" s="46" customFormat="1" ht="41.5" customHeight="1" spans="1:16">
      <c r="A123" s="94"/>
      <c r="B123" s="94"/>
      <c r="C123" s="59"/>
      <c r="D123" s="94"/>
      <c r="E123" s="94"/>
      <c r="F123" s="94"/>
      <c r="G123" s="94"/>
      <c r="H123" s="94"/>
      <c r="I123" s="94"/>
      <c r="J123" s="54"/>
      <c r="K123" s="59"/>
      <c r="L123" s="59"/>
      <c r="M123" s="59"/>
      <c r="N123" s="59"/>
      <c r="O123" s="59"/>
      <c r="P123" s="59"/>
    </row>
    <row r="124" s="46" customFormat="1" ht="41.5" customHeight="1" spans="1:16">
      <c r="A124" s="94"/>
      <c r="B124" s="94"/>
      <c r="C124" s="59"/>
      <c r="D124" s="94"/>
      <c r="E124" s="94"/>
      <c r="F124" s="94"/>
      <c r="G124" s="94"/>
      <c r="H124" s="94"/>
      <c r="I124" s="94"/>
      <c r="J124" s="54"/>
      <c r="K124" s="59"/>
      <c r="L124" s="59"/>
      <c r="M124" s="59"/>
      <c r="N124" s="59"/>
      <c r="O124" s="59"/>
      <c r="P124" s="59"/>
    </row>
    <row r="125" s="46" customFormat="1" ht="41.5" customHeight="1" spans="1:16">
      <c r="A125" s="94"/>
      <c r="B125" s="94"/>
      <c r="C125" s="59"/>
      <c r="D125" s="94"/>
      <c r="E125" s="94"/>
      <c r="F125" s="94"/>
      <c r="G125" s="94"/>
      <c r="H125" s="94"/>
      <c r="I125" s="94"/>
      <c r="J125" s="59"/>
      <c r="K125" s="59"/>
      <c r="L125" s="59"/>
      <c r="M125" s="59"/>
      <c r="N125" s="59"/>
      <c r="O125" s="59"/>
      <c r="P125" s="59"/>
    </row>
    <row r="126" s="46" customFormat="1" ht="41.5" customHeight="1" spans="1:16">
      <c r="A126" s="94"/>
      <c r="B126" s="94"/>
      <c r="C126" s="59"/>
      <c r="D126" s="94"/>
      <c r="E126" s="94"/>
      <c r="F126" s="94"/>
      <c r="G126" s="94"/>
      <c r="H126" s="94"/>
      <c r="I126" s="94"/>
      <c r="J126" s="59"/>
      <c r="K126" s="59"/>
      <c r="L126" s="59"/>
      <c r="M126" s="59"/>
      <c r="N126" s="59"/>
      <c r="O126" s="59"/>
      <c r="P126" s="59"/>
    </row>
    <row r="127" s="46" customFormat="1" ht="41.5" customHeight="1" spans="1:16">
      <c r="A127" s="94"/>
      <c r="B127" s="94"/>
      <c r="C127" s="59"/>
      <c r="D127" s="94"/>
      <c r="E127" s="94"/>
      <c r="F127" s="94"/>
      <c r="G127" s="94"/>
      <c r="H127" s="94"/>
      <c r="I127" s="94"/>
      <c r="J127" s="59"/>
      <c r="K127" s="59"/>
      <c r="L127" s="59"/>
      <c r="M127" s="59"/>
      <c r="N127" s="59"/>
      <c r="O127" s="59"/>
      <c r="P127" s="59"/>
    </row>
    <row r="128" s="46" customFormat="1" ht="41.5" customHeight="1" spans="1:16">
      <c r="A128" s="94"/>
      <c r="B128" s="94"/>
      <c r="C128" s="59"/>
      <c r="D128" s="94"/>
      <c r="E128" s="94"/>
      <c r="F128" s="94"/>
      <c r="G128" s="94"/>
      <c r="H128" s="94"/>
      <c r="I128" s="94"/>
      <c r="J128" s="59"/>
      <c r="K128" s="59"/>
      <c r="L128" s="59"/>
      <c r="M128" s="59"/>
      <c r="N128" s="59"/>
      <c r="O128" s="59"/>
      <c r="P128" s="59"/>
    </row>
    <row r="129" s="46" customFormat="1" ht="41.5" customHeight="1" spans="1:16">
      <c r="A129" s="94"/>
      <c r="B129" s="94"/>
      <c r="C129" s="59"/>
      <c r="D129" s="94"/>
      <c r="E129" s="94"/>
      <c r="F129" s="94"/>
      <c r="G129" s="94"/>
      <c r="H129" s="94"/>
      <c r="I129" s="94"/>
      <c r="J129" s="59"/>
      <c r="K129" s="59"/>
      <c r="L129" s="59"/>
      <c r="M129" s="59"/>
      <c r="N129" s="59"/>
      <c r="O129" s="59"/>
      <c r="P129" s="59"/>
    </row>
    <row r="130" s="46" customFormat="1" ht="41.5" customHeight="1" spans="1:16">
      <c r="A130" s="94"/>
      <c r="B130" s="94"/>
      <c r="C130" s="59"/>
      <c r="D130" s="94"/>
      <c r="E130" s="94"/>
      <c r="F130" s="94"/>
      <c r="G130" s="94"/>
      <c r="H130" s="94"/>
      <c r="I130" s="94"/>
      <c r="J130" s="59"/>
      <c r="K130" s="59"/>
      <c r="L130" s="59"/>
      <c r="M130" s="59"/>
      <c r="N130" s="59"/>
      <c r="O130" s="59"/>
      <c r="P130" s="59"/>
    </row>
    <row r="131" s="46" customFormat="1" ht="41.5" customHeight="1" spans="1:16">
      <c r="A131" s="94"/>
      <c r="B131" s="94"/>
      <c r="C131" s="59"/>
      <c r="D131" s="94"/>
      <c r="E131" s="94"/>
      <c r="F131" s="94"/>
      <c r="G131" s="94"/>
      <c r="H131" s="94"/>
      <c r="I131" s="94"/>
      <c r="J131" s="59"/>
      <c r="K131" s="59"/>
      <c r="L131" s="59"/>
      <c r="M131" s="59"/>
      <c r="N131" s="59"/>
      <c r="O131" s="59"/>
      <c r="P131" s="59"/>
    </row>
    <row r="132" ht="41.5" customHeight="1" spans="1:16">
      <c r="A132" s="94"/>
      <c r="B132" s="94"/>
      <c r="C132" s="59"/>
      <c r="D132" s="94"/>
      <c r="E132" s="94"/>
      <c r="F132" s="94"/>
      <c r="G132" s="94"/>
      <c r="H132" s="94"/>
      <c r="I132" s="94"/>
      <c r="J132" s="59"/>
      <c r="K132" s="59"/>
      <c r="L132" s="59"/>
      <c r="M132" s="59"/>
      <c r="N132" s="59"/>
      <c r="O132" s="59"/>
      <c r="P132" s="59"/>
    </row>
    <row r="133" ht="41.5" customHeight="1" spans="1:16">
      <c r="A133" s="94"/>
      <c r="B133" s="94"/>
      <c r="C133" s="59"/>
      <c r="D133" s="94"/>
      <c r="E133" s="94"/>
      <c r="F133" s="94"/>
      <c r="G133" s="94"/>
      <c r="H133" s="94"/>
      <c r="I133" s="94"/>
      <c r="J133" s="59"/>
      <c r="K133" s="59"/>
      <c r="L133" s="59"/>
      <c r="M133" s="59"/>
      <c r="N133" s="59"/>
      <c r="O133" s="59"/>
      <c r="P133" s="59"/>
    </row>
    <row r="134" ht="41.5" customHeight="1" spans="1:16">
      <c r="A134" s="94"/>
      <c r="B134" s="94"/>
      <c r="C134" s="59"/>
      <c r="D134" s="94"/>
      <c r="E134" s="94"/>
      <c r="F134" s="94"/>
      <c r="G134" s="94"/>
      <c r="H134" s="94"/>
      <c r="I134" s="94"/>
      <c r="J134" s="59"/>
      <c r="K134" s="59"/>
      <c r="L134" s="59"/>
      <c r="M134" s="59"/>
      <c r="N134" s="59"/>
      <c r="O134" s="59"/>
      <c r="P134" s="59"/>
    </row>
    <row r="135" ht="41.5" customHeight="1" spans="1:16">
      <c r="A135" s="94"/>
      <c r="B135" s="94"/>
      <c r="C135" s="59"/>
      <c r="D135" s="94"/>
      <c r="E135" s="94"/>
      <c r="F135" s="94"/>
      <c r="G135" s="94"/>
      <c r="H135" s="94"/>
      <c r="I135" s="94"/>
      <c r="J135" s="59"/>
      <c r="K135" s="59"/>
      <c r="L135" s="59"/>
      <c r="M135" s="59"/>
      <c r="N135" s="59"/>
      <c r="O135" s="59"/>
      <c r="P135" s="59"/>
    </row>
    <row r="136" ht="41.5" customHeight="1" spans="1:16">
      <c r="A136" s="94"/>
      <c r="B136" s="94"/>
      <c r="C136" s="59"/>
      <c r="D136" s="94"/>
      <c r="E136" s="94"/>
      <c r="F136" s="94"/>
      <c r="G136" s="94"/>
      <c r="H136" s="94"/>
      <c r="I136" s="94"/>
      <c r="J136" s="59"/>
      <c r="K136" s="59"/>
      <c r="L136" s="59"/>
      <c r="M136" s="59"/>
      <c r="N136" s="59"/>
      <c r="O136" s="59"/>
      <c r="P136" s="59"/>
    </row>
    <row r="137" ht="41.5" customHeight="1" spans="1:16">
      <c r="A137" s="94"/>
      <c r="B137" s="94"/>
      <c r="C137" s="59"/>
      <c r="D137" s="94"/>
      <c r="E137" s="94"/>
      <c r="F137" s="94"/>
      <c r="G137" s="94"/>
      <c r="H137" s="94"/>
      <c r="I137" s="94"/>
      <c r="J137" s="59"/>
      <c r="K137" s="59"/>
      <c r="L137" s="59"/>
      <c r="M137" s="59"/>
      <c r="N137" s="59"/>
      <c r="O137" s="59"/>
      <c r="P137" s="59"/>
    </row>
    <row r="138" ht="41.5" customHeight="1" spans="1:16">
      <c r="A138" s="94"/>
      <c r="B138" s="94"/>
      <c r="C138" s="59"/>
      <c r="D138" s="94"/>
      <c r="E138" s="94"/>
      <c r="F138" s="94"/>
      <c r="G138" s="94"/>
      <c r="H138" s="94"/>
      <c r="I138" s="94"/>
      <c r="J138" s="59"/>
      <c r="K138" s="59"/>
      <c r="L138" s="59"/>
      <c r="M138" s="59"/>
      <c r="N138" s="59"/>
      <c r="O138" s="59"/>
      <c r="P138" s="59"/>
    </row>
    <row r="139" ht="41.5" customHeight="1" spans="1:16">
      <c r="A139" s="94"/>
      <c r="B139" s="94"/>
      <c r="C139" s="59"/>
      <c r="D139" s="94"/>
      <c r="E139" s="94"/>
      <c r="F139" s="94"/>
      <c r="G139" s="94"/>
      <c r="H139" s="94"/>
      <c r="I139" s="94"/>
      <c r="J139" s="59"/>
      <c r="K139" s="59"/>
      <c r="L139" s="59"/>
      <c r="M139" s="59"/>
      <c r="N139" s="59"/>
      <c r="O139" s="59"/>
      <c r="P139" s="59"/>
    </row>
    <row r="140" ht="41.5" customHeight="1" spans="1:16">
      <c r="D140" s="96"/>
      <c r="E140" s="96"/>
      <c r="F140" s="96"/>
      <c r="G140" s="96"/>
      <c r="H140" s="96"/>
      <c r="I140" s="96"/>
      <c r="K140" s="59"/>
      <c r="L140" s="59"/>
      <c r="M140" s="59"/>
      <c r="N140" s="59"/>
      <c r="O140" s="59"/>
      <c r="P140" s="59"/>
    </row>
    <row r="141" ht="41.5" customHeight="1" spans="1:16">
      <c r="D141" s="96"/>
      <c r="E141" s="96"/>
      <c r="F141" s="96"/>
      <c r="G141" s="96"/>
      <c r="H141" s="96"/>
      <c r="I141" s="96"/>
      <c r="K141" s="59"/>
      <c r="L141" s="59"/>
      <c r="M141" s="59"/>
      <c r="N141" s="59"/>
      <c r="O141" s="59"/>
      <c r="P141" s="59"/>
    </row>
    <row r="142" ht="41.5" customHeight="1" spans="1:16">
      <c r="D142" s="96"/>
      <c r="E142" s="96"/>
      <c r="F142" s="96"/>
      <c r="G142" s="96"/>
      <c r="H142" s="96"/>
      <c r="I142" s="96"/>
      <c r="K142" s="59"/>
      <c r="L142" s="59"/>
      <c r="M142" s="59"/>
      <c r="N142" s="59"/>
      <c r="O142" s="59"/>
      <c r="P142" s="59"/>
    </row>
    <row r="143" ht="41.5" customHeight="1" spans="1:16">
      <c r="D143" s="96"/>
      <c r="E143" s="96"/>
      <c r="F143" s="96"/>
      <c r="G143" s="96"/>
      <c r="H143" s="96"/>
      <c r="I143" s="96"/>
      <c r="K143" s="59"/>
      <c r="L143" s="59"/>
      <c r="M143" s="59"/>
      <c r="N143" s="59"/>
      <c r="O143" s="59"/>
      <c r="P143" s="59"/>
    </row>
    <row r="144" ht="41.5" customHeight="1" spans="1:16">
      <c r="D144" s="96"/>
      <c r="E144" s="96"/>
      <c r="F144" s="96"/>
      <c r="G144" s="96"/>
      <c r="H144" s="96"/>
      <c r="I144" s="96"/>
      <c r="K144" s="59"/>
      <c r="L144" s="59"/>
      <c r="M144" s="59"/>
      <c r="N144" s="59"/>
      <c r="O144" s="59"/>
      <c r="P144" s="59"/>
    </row>
    <row r="145" ht="41.5" customHeight="1" spans="4:16">
      <c r="D145" s="96"/>
      <c r="E145" s="96"/>
      <c r="F145" s="96"/>
      <c r="G145" s="96"/>
      <c r="H145" s="96"/>
      <c r="I145" s="96"/>
      <c r="K145" s="59"/>
      <c r="L145" s="59"/>
      <c r="M145" s="59"/>
      <c r="N145" s="59"/>
      <c r="O145" s="59"/>
      <c r="P145" s="59"/>
    </row>
    <row r="146" ht="41.5" customHeight="1" spans="4:16">
      <c r="D146" s="96"/>
      <c r="E146" s="96"/>
      <c r="F146" s="96"/>
      <c r="G146" s="96"/>
      <c r="H146" s="96"/>
      <c r="I146" s="96"/>
      <c r="K146" s="59"/>
      <c r="L146" s="59"/>
      <c r="M146" s="59"/>
      <c r="N146" s="59"/>
      <c r="O146" s="59"/>
      <c r="P146" s="59"/>
    </row>
    <row r="147" ht="41.5" customHeight="1" spans="4:16">
      <c r="D147" s="96"/>
      <c r="E147" s="96"/>
      <c r="F147" s="96"/>
      <c r="G147" s="96"/>
      <c r="H147" s="96"/>
      <c r="I147" s="96"/>
      <c r="K147" s="59"/>
      <c r="L147" s="59"/>
      <c r="M147" s="59"/>
      <c r="N147" s="59"/>
      <c r="O147" s="59"/>
      <c r="P147" s="59"/>
    </row>
    <row r="148" ht="41.5" customHeight="1" spans="4:16">
      <c r="D148" s="96"/>
      <c r="E148" s="96"/>
      <c r="F148" s="96"/>
      <c r="G148" s="96"/>
      <c r="H148" s="96"/>
      <c r="I148" s="96"/>
      <c r="K148" s="59"/>
      <c r="L148" s="59"/>
      <c r="M148" s="59"/>
      <c r="N148" s="59"/>
      <c r="O148" s="59"/>
      <c r="P148" s="59"/>
    </row>
    <row r="149" ht="41.5" customHeight="1" spans="4:16">
      <c r="D149" s="96"/>
      <c r="E149" s="96"/>
      <c r="F149" s="96"/>
      <c r="G149" s="96"/>
      <c r="H149" s="96"/>
      <c r="I149" s="96"/>
      <c r="K149" s="59"/>
      <c r="L149" s="59"/>
      <c r="M149" s="59"/>
      <c r="N149" s="59"/>
      <c r="O149" s="59"/>
      <c r="P149" s="59"/>
    </row>
    <row r="150" ht="41.5" customHeight="1" spans="4:16">
      <c r="D150" s="96"/>
      <c r="E150" s="96"/>
      <c r="F150" s="96"/>
      <c r="G150" s="96"/>
      <c r="H150" s="96"/>
      <c r="I150" s="96"/>
      <c r="K150" s="59"/>
      <c r="L150" s="59"/>
      <c r="M150" s="59"/>
      <c r="N150" s="59"/>
      <c r="O150" s="59"/>
      <c r="P150" s="59"/>
    </row>
    <row r="151" ht="41.5" customHeight="1" spans="4:16">
      <c r="K151" s="59"/>
      <c r="L151" s="59"/>
      <c r="M151" s="59"/>
      <c r="N151" s="59"/>
      <c r="O151" s="59"/>
      <c r="P151" s="59"/>
    </row>
    <row r="152" ht="41.5" customHeight="1" spans="4:16">
      <c r="K152" s="59"/>
      <c r="L152" s="59"/>
      <c r="M152" s="59"/>
      <c r="N152" s="59"/>
      <c r="O152" s="59"/>
      <c r="P152" s="59"/>
    </row>
    <row r="153" ht="41.5" customHeight="1" spans="4:16">
      <c r="K153" s="59"/>
      <c r="L153" s="59"/>
      <c r="M153" s="59"/>
      <c r="N153" s="59"/>
      <c r="O153" s="59"/>
      <c r="P153" s="59"/>
    </row>
    <row r="154" ht="41.5" customHeight="1" spans="4:16">
      <c r="K154" s="59"/>
      <c r="L154" s="59"/>
      <c r="M154" s="59"/>
      <c r="N154" s="59"/>
      <c r="O154" s="59"/>
      <c r="P154" s="59"/>
    </row>
    <row r="155" ht="41.5" customHeight="1" spans="4:16">
      <c r="K155" s="59"/>
      <c r="L155" s="59"/>
      <c r="M155" s="59"/>
      <c r="N155" s="59"/>
      <c r="O155" s="59"/>
      <c r="P155" s="59"/>
    </row>
    <row r="156" ht="41.5" customHeight="1"/>
    <row r="157" ht="41.5" customHeight="1"/>
    <row r="158" ht="41.5" customHeight="1"/>
    <row r="159" ht="41.5" customHeight="1"/>
    <row r="160" ht="41.5" customHeight="1"/>
    <row r="161" ht="41.5" customHeight="1"/>
    <row r="162" ht="41.5" customHeight="1"/>
    <row r="163" ht="41.5" customHeight="1" spans="3:10">
      <c r="C163" s="23"/>
      <c r="D163" s="102"/>
      <c r="G163" s="102"/>
      <c r="H163" s="102"/>
      <c r="I163" s="102"/>
      <c r="J163" s="23"/>
    </row>
    <row r="164" ht="41.5" customHeight="1" spans="3:10">
      <c r="C164" s="23"/>
      <c r="D164" s="102"/>
      <c r="G164" s="102"/>
      <c r="H164" s="102"/>
      <c r="I164" s="102"/>
      <c r="J164" s="23"/>
    </row>
    <row r="165" ht="41.5" customHeight="1" spans="3:10">
      <c r="C165" s="23"/>
      <c r="D165" s="102"/>
      <c r="G165" s="102"/>
      <c r="H165" s="102"/>
      <c r="I165" s="102"/>
      <c r="J165" s="23"/>
    </row>
    <row r="166" ht="24.5" customHeight="1" spans="3:10">
      <c r="C166" s="23"/>
      <c r="D166" s="102"/>
      <c r="G166" s="102"/>
      <c r="H166" s="102"/>
      <c r="I166" s="102"/>
      <c r="J166" s="23"/>
    </row>
    <row r="167" ht="24.5" customHeight="1" spans="3:10">
      <c r="C167" s="23"/>
      <c r="D167" s="102"/>
      <c r="G167" s="102"/>
      <c r="H167" s="102"/>
      <c r="I167" s="102"/>
      <c r="J167" s="23"/>
    </row>
    <row r="168" ht="24.5" customHeight="1" spans="3:10">
      <c r="C168" s="23"/>
      <c r="D168" s="102"/>
      <c r="G168" s="102"/>
      <c r="H168" s="102"/>
      <c r="I168" s="102"/>
      <c r="J168" s="23"/>
    </row>
    <row r="169" ht="24.5" customHeight="1" spans="3:10">
      <c r="C169" s="23"/>
      <c r="D169" s="102"/>
      <c r="G169" s="102"/>
      <c r="H169" s="102"/>
      <c r="I169" s="102"/>
      <c r="J169" s="23"/>
    </row>
    <row r="170" ht="24.5" customHeight="1" spans="3:10">
      <c r="C170" s="23"/>
      <c r="D170" s="102"/>
      <c r="G170" s="102"/>
      <c r="H170" s="102"/>
      <c r="I170" s="102"/>
      <c r="J170" s="23"/>
    </row>
    <row r="171" ht="24.5" customHeight="1" spans="3:10">
      <c r="C171" s="23"/>
      <c r="D171" s="102"/>
      <c r="G171" s="102"/>
      <c r="H171" s="102"/>
      <c r="I171" s="102"/>
      <c r="J171" s="23"/>
    </row>
    <row r="172" ht="24.5" customHeight="1" spans="3:10">
      <c r="C172" s="23"/>
      <c r="D172" s="102"/>
      <c r="G172" s="102"/>
      <c r="H172" s="102"/>
      <c r="I172" s="102"/>
      <c r="J172" s="23"/>
    </row>
    <row r="173" ht="24.5" customHeight="1" spans="3:10">
      <c r="C173" s="23"/>
      <c r="D173" s="102"/>
      <c r="G173" s="102"/>
      <c r="H173" s="102"/>
      <c r="I173" s="102"/>
      <c r="J173" s="23"/>
    </row>
    <row r="174" ht="24.5" customHeight="1" spans="3:10">
      <c r="C174" s="23"/>
      <c r="D174" s="102"/>
      <c r="G174" s="102"/>
      <c r="H174" s="102"/>
      <c r="I174" s="102"/>
      <c r="J174" s="23"/>
    </row>
    <row r="175" ht="24.5" customHeight="1" spans="3:10">
      <c r="C175" s="23"/>
      <c r="D175" s="102"/>
      <c r="G175" s="102"/>
      <c r="H175" s="102"/>
      <c r="I175" s="102"/>
      <c r="J175" s="23"/>
    </row>
    <row r="176" ht="24.5" customHeight="1" spans="3:10">
      <c r="C176" s="23"/>
      <c r="D176" s="102"/>
      <c r="G176" s="102"/>
      <c r="H176" s="102"/>
      <c r="I176" s="102"/>
      <c r="J176" s="23"/>
    </row>
    <row r="177" ht="24.5" customHeight="1" spans="1:10">
      <c r="C177" s="23"/>
      <c r="D177" s="102"/>
      <c r="G177" s="102"/>
      <c r="H177" s="102"/>
      <c r="I177" s="102"/>
      <c r="J177" s="23"/>
    </row>
    <row r="178" ht="24.5" customHeight="1" spans="1:10">
      <c r="C178" s="23"/>
      <c r="D178" s="102"/>
      <c r="G178" s="102"/>
      <c r="H178" s="102"/>
      <c r="I178" s="102"/>
      <c r="J178" s="23"/>
    </row>
    <row r="179" ht="24.5" customHeight="1" spans="1:10">
      <c r="C179" s="23"/>
      <c r="D179" s="102"/>
      <c r="G179" s="102"/>
      <c r="H179" s="102"/>
      <c r="I179" s="102"/>
      <c r="J179" s="23"/>
    </row>
    <row r="180" ht="24.5" customHeight="1" spans="1:10">
      <c r="C180" s="23"/>
      <c r="D180" s="102"/>
      <c r="G180" s="102"/>
      <c r="H180" s="102"/>
      <c r="I180" s="102"/>
      <c r="J180" s="23"/>
    </row>
    <row r="181" ht="24.5" customHeight="1" spans="1:10">
      <c r="C181" s="23"/>
      <c r="D181" s="102"/>
      <c r="E181" s="96"/>
      <c r="F181" s="96"/>
      <c r="G181" s="102"/>
      <c r="H181" s="102"/>
      <c r="I181" s="102"/>
      <c r="J181" s="23"/>
    </row>
    <row r="182" ht="24.5" customHeight="1" spans="1:10">
      <c r="C182" s="23"/>
      <c r="D182" s="102"/>
      <c r="E182" s="96"/>
      <c r="F182" s="96"/>
      <c r="G182" s="102"/>
      <c r="H182" s="102"/>
      <c r="I182" s="102"/>
      <c r="J182" s="23"/>
    </row>
    <row r="183" ht="24.5" customHeight="1" spans="1:10">
      <c r="C183" s="23"/>
      <c r="D183" s="102"/>
      <c r="E183" s="96"/>
      <c r="F183" s="96"/>
      <c r="G183" s="102"/>
      <c r="H183" s="102"/>
      <c r="I183" s="102"/>
      <c r="J183" s="23"/>
    </row>
    <row r="184" ht="24.5" customHeight="1" spans="1:10">
      <c r="C184" s="23"/>
      <c r="D184" s="102"/>
      <c r="E184" s="96"/>
      <c r="F184" s="96"/>
      <c r="G184" s="102"/>
      <c r="H184" s="102"/>
      <c r="I184" s="102"/>
      <c r="J184" s="23"/>
    </row>
    <row r="185" ht="24.5" customHeight="1" spans="1:10">
      <c r="C185" s="23"/>
      <c r="D185" s="102"/>
      <c r="E185" s="96"/>
      <c r="F185" s="96"/>
      <c r="G185" s="102"/>
      <c r="H185" s="102"/>
      <c r="I185" s="102"/>
      <c r="J185" s="23"/>
    </row>
    <row r="186" ht="24.5" customHeight="1" spans="1:10">
      <c r="C186" s="23"/>
      <c r="D186" s="102"/>
      <c r="E186" s="96"/>
      <c r="F186" s="96"/>
      <c r="G186" s="102"/>
      <c r="H186" s="102"/>
      <c r="I186" s="102"/>
      <c r="J186" s="23"/>
    </row>
    <row r="187" ht="24.5" customHeight="1" spans="1:10">
      <c r="A187" s="46"/>
      <c r="B187" s="22"/>
      <c r="C187" s="23"/>
      <c r="D187" s="22"/>
      <c r="E187" s="22"/>
      <c r="F187" s="22"/>
    </row>
    <row r="188" ht="24.5" customHeight="1"/>
    <row r="189" ht="24.5" customHeight="1"/>
    <row r="190" ht="24.5" customHeight="1"/>
    <row r="203" ht="30.5" customHeight="1"/>
  </sheetData>
  <conditionalFormatting sqref="J112">
    <cfRule type="duplicateValues" dxfId="0" priority="5"/>
  </conditionalFormatting>
  <conditionalFormatting sqref="J115">
    <cfRule type="duplicateValues" dxfId="0" priority="4"/>
  </conditionalFormatting>
  <conditionalFormatting sqref="J118">
    <cfRule type="duplicateValues" dxfId="0" priority="3"/>
  </conditionalFormatting>
  <conditionalFormatting sqref="J121">
    <cfRule type="duplicateValues" dxfId="0" priority="2"/>
  </conditionalFormatting>
  <conditionalFormatting sqref="J124">
    <cfRule type="duplicateValues" dxfId="0" priority="1"/>
  </conditionalFormatting>
  <conditionalFormatting sqref="D163:D187 D86 D228:D1048576">
    <cfRule type="duplicateValues" dxfId="0" priority="15"/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4"/>
  <sheetViews>
    <sheetView zoomScale="115" zoomScaleNormal="115" workbookViewId="0">
      <pane ySplit="1" topLeftCell="A66" activePane="bottomLeft" state="frozen"/>
      <selection/>
      <selection pane="bottomLeft" activeCell="C52" sqref="C52:H53"/>
    </sheetView>
  </sheetViews>
  <sheetFormatPr defaultColWidth="9" defaultRowHeight="14"/>
  <cols>
    <col min="1" max="1" width="7.75" customWidth="1"/>
    <col min="2" max="2" width="6.08333333333333" customWidth="1"/>
    <col min="3" max="3" width="20.5833333333333" style="28" customWidth="1"/>
    <col min="4" max="4" width="17.4166666666667" style="47" customWidth="1"/>
    <col min="5" max="5" width="6.75" customWidth="1"/>
    <col min="6" max="6" width="7.75" customWidth="1"/>
    <col min="7" max="7" width="16.9166666666667" customWidth="1"/>
    <col min="8" max="9" width="11.6666666666667" customWidth="1"/>
    <col min="10" max="10" width="35.25" customWidth="1"/>
    <col min="11" max="11" width="24.75" customWidth="1"/>
  </cols>
  <sheetData>
    <row r="1" s="48" customFormat="1" ht="26" customHeight="1" spans="1:11">
      <c r="A1" s="20" t="s">
        <v>47</v>
      </c>
      <c r="B1" s="20" t="s">
        <v>4</v>
      </c>
      <c r="C1" s="20" t="s">
        <v>5</v>
      </c>
      <c r="D1" s="20" t="s">
        <v>6</v>
      </c>
      <c r="E1" s="20" t="s">
        <v>8</v>
      </c>
      <c r="F1" s="97" t="s">
        <v>9</v>
      </c>
      <c r="G1" s="97" t="s">
        <v>48</v>
      </c>
      <c r="H1" s="97" t="s">
        <v>49</v>
      </c>
      <c r="I1" s="97" t="s">
        <v>10</v>
      </c>
      <c r="J1" s="97" t="s">
        <v>11</v>
      </c>
    </row>
    <row r="2" s="96" customFormat="1" ht="19" customHeight="1" spans="1:11">
      <c r="A2" s="98" t="s">
        <v>218</v>
      </c>
      <c r="B2" s="46">
        <v>1</v>
      </c>
      <c r="C2" s="23" t="s">
        <v>219</v>
      </c>
      <c r="D2" s="22" t="str">
        <f>CONCATENATE("0x",DEC2HEX((B2)+8191,4))</f>
        <v>0x2000</v>
      </c>
      <c r="E2" s="22" t="s">
        <v>220</v>
      </c>
      <c r="F2" s="22" t="s">
        <v>221</v>
      </c>
      <c r="G2" s="22" t="s">
        <v>222</v>
      </c>
      <c r="H2" s="22">
        <v>0.0001</v>
      </c>
      <c r="I2" s="22"/>
      <c r="J2" s="22"/>
      <c r="K2" s="99"/>
    </row>
    <row r="3" s="96" customFormat="1" ht="18.5" customHeight="1" spans="1:11">
      <c r="A3" s="98"/>
      <c r="B3" s="46">
        <v>2</v>
      </c>
      <c r="C3" s="23" t="s">
        <v>223</v>
      </c>
      <c r="D3" s="22" t="str">
        <f t="shared" ref="D3:D34" si="0">CONCATENATE("0x",DEC2HEX((B3)+8191,4))</f>
        <v>0x2001</v>
      </c>
      <c r="E3" s="22" t="s">
        <v>220</v>
      </c>
      <c r="F3" s="22" t="s">
        <v>221</v>
      </c>
      <c r="G3" s="22" t="s">
        <v>222</v>
      </c>
      <c r="H3" s="22">
        <v>0.0001</v>
      </c>
      <c r="I3" s="22"/>
      <c r="J3" s="22"/>
      <c r="K3" s="99"/>
    </row>
    <row r="4" s="96" customFormat="1" ht="18.5" customHeight="1" spans="1:11">
      <c r="A4" s="98"/>
      <c r="B4" s="46">
        <v>3</v>
      </c>
      <c r="C4" s="23" t="s">
        <v>224</v>
      </c>
      <c r="D4" s="22" t="str">
        <f t="shared" si="0"/>
        <v>0x2002</v>
      </c>
      <c r="E4" s="22" t="s">
        <v>220</v>
      </c>
      <c r="F4" s="22" t="s">
        <v>221</v>
      </c>
      <c r="G4" s="22" t="s">
        <v>222</v>
      </c>
      <c r="H4" s="22">
        <v>0.0001</v>
      </c>
      <c r="I4" s="22"/>
      <c r="J4" s="22"/>
    </row>
    <row r="5" s="46" customFormat="1" ht="18.5" customHeight="1" spans="1:11">
      <c r="A5" s="46" t="s">
        <v>225</v>
      </c>
      <c r="B5" s="46">
        <v>4</v>
      </c>
      <c r="C5" s="23" t="s">
        <v>226</v>
      </c>
      <c r="D5" s="22" t="str">
        <f t="shared" si="0"/>
        <v>0x2003</v>
      </c>
      <c r="E5" s="22" t="s">
        <v>220</v>
      </c>
      <c r="F5" s="22" t="s">
        <v>227</v>
      </c>
      <c r="G5" s="98" t="s">
        <v>228</v>
      </c>
      <c r="H5" s="22" t="s">
        <v>229</v>
      </c>
      <c r="I5" s="22"/>
      <c r="J5" s="22" t="s">
        <v>230</v>
      </c>
    </row>
    <row r="6" s="96" customFormat="1" ht="18.5" customHeight="1" spans="1:11">
      <c r="A6" s="46"/>
      <c r="B6" s="46">
        <v>5</v>
      </c>
      <c r="C6" s="23" t="s">
        <v>214</v>
      </c>
      <c r="D6" s="22" t="str">
        <f t="shared" si="0"/>
        <v>0x2004</v>
      </c>
      <c r="E6" s="22" t="s">
        <v>220</v>
      </c>
      <c r="F6" s="22" t="s">
        <v>227</v>
      </c>
      <c r="G6" s="98" t="s">
        <v>231</v>
      </c>
      <c r="H6" s="22" t="s">
        <v>86</v>
      </c>
      <c r="I6" s="22"/>
      <c r="J6" s="22" t="s">
        <v>230</v>
      </c>
    </row>
    <row r="7" s="96" customFormat="1" ht="18.5" customHeight="1" spans="1:11">
      <c r="A7" s="46"/>
      <c r="B7" s="46">
        <v>6</v>
      </c>
      <c r="C7" s="23" t="s">
        <v>232</v>
      </c>
      <c r="D7" s="22" t="str">
        <f t="shared" si="0"/>
        <v>0x2005</v>
      </c>
      <c r="E7" s="22" t="s">
        <v>220</v>
      </c>
      <c r="F7" s="22" t="s">
        <v>227</v>
      </c>
      <c r="G7" s="22" t="s">
        <v>74</v>
      </c>
      <c r="H7" s="22" t="s">
        <v>233</v>
      </c>
      <c r="I7" s="22"/>
      <c r="J7" s="22"/>
    </row>
    <row r="8" s="96" customFormat="1" ht="18.5" customHeight="1" spans="1:11">
      <c r="A8" s="98" t="s">
        <v>234</v>
      </c>
      <c r="B8" s="46">
        <v>7</v>
      </c>
      <c r="C8" s="23" t="s">
        <v>235</v>
      </c>
      <c r="D8" s="22" t="str">
        <f t="shared" si="0"/>
        <v>0x2006</v>
      </c>
      <c r="E8" s="22" t="s">
        <v>220</v>
      </c>
      <c r="F8" s="22" t="s">
        <v>84</v>
      </c>
      <c r="G8" s="22" t="s">
        <v>98</v>
      </c>
      <c r="H8" s="98">
        <v>0.01</v>
      </c>
      <c r="I8" s="98"/>
      <c r="J8" s="98"/>
    </row>
    <row r="9" s="96" customFormat="1" ht="18.5" customHeight="1" spans="1:11">
      <c r="A9" s="98"/>
      <c r="B9" s="46">
        <v>8</v>
      </c>
      <c r="C9" s="23" t="s">
        <v>236</v>
      </c>
      <c r="D9" s="22" t="str">
        <f t="shared" si="0"/>
        <v>0x2007</v>
      </c>
      <c r="E9" s="22" t="s">
        <v>220</v>
      </c>
      <c r="F9" s="22" t="s">
        <v>84</v>
      </c>
      <c r="G9" s="22" t="s">
        <v>98</v>
      </c>
      <c r="H9" s="98">
        <v>0.01</v>
      </c>
      <c r="I9" s="98"/>
      <c r="J9" s="98"/>
    </row>
    <row r="10" s="96" customFormat="1" ht="18.5" customHeight="1" spans="1:11">
      <c r="A10" s="98"/>
      <c r="B10" s="46">
        <v>9</v>
      </c>
      <c r="C10" s="23" t="s">
        <v>237</v>
      </c>
      <c r="D10" s="22" t="str">
        <f t="shared" si="0"/>
        <v>0x2008</v>
      </c>
      <c r="E10" s="22" t="s">
        <v>220</v>
      </c>
      <c r="F10" s="22" t="s">
        <v>84</v>
      </c>
      <c r="G10" s="98" t="s">
        <v>98</v>
      </c>
      <c r="H10" s="98">
        <v>0.01</v>
      </c>
      <c r="I10" s="98"/>
      <c r="J10" s="98"/>
    </row>
    <row r="11" s="96" customFormat="1" ht="18.5" customHeight="1" spans="1:11">
      <c r="A11" s="98"/>
      <c r="B11" s="46">
        <v>10</v>
      </c>
      <c r="C11" s="23" t="s">
        <v>238</v>
      </c>
      <c r="D11" s="22" t="str">
        <f t="shared" si="0"/>
        <v>0x2009</v>
      </c>
      <c r="E11" s="22" t="s">
        <v>220</v>
      </c>
      <c r="F11" s="22" t="s">
        <v>84</v>
      </c>
      <c r="G11" s="98" t="s">
        <v>98</v>
      </c>
      <c r="H11" s="98">
        <v>0.01</v>
      </c>
      <c r="I11" s="98"/>
      <c r="J11" s="98"/>
    </row>
    <row r="12" s="96" customFormat="1" ht="18.5" customHeight="1" spans="1:11">
      <c r="A12" s="98" t="s">
        <v>239</v>
      </c>
      <c r="B12" s="46">
        <v>11</v>
      </c>
      <c r="C12" s="23" t="s">
        <v>240</v>
      </c>
      <c r="D12" s="22" t="str">
        <f t="shared" si="0"/>
        <v>0x200A</v>
      </c>
      <c r="E12" s="22" t="s">
        <v>220</v>
      </c>
      <c r="F12" s="22" t="s">
        <v>221</v>
      </c>
      <c r="G12" s="22" t="s">
        <v>241</v>
      </c>
      <c r="H12" s="22" t="s">
        <v>229</v>
      </c>
      <c r="I12" s="22"/>
      <c r="J12" s="22" t="s">
        <v>230</v>
      </c>
    </row>
    <row r="13" s="96" customFormat="1" ht="18.5" customHeight="1" spans="1:11">
      <c r="A13" s="98"/>
      <c r="B13" s="46">
        <v>12</v>
      </c>
      <c r="C13" s="23" t="s">
        <v>242</v>
      </c>
      <c r="D13" s="22" t="str">
        <f t="shared" si="0"/>
        <v>0x200B</v>
      </c>
      <c r="E13" s="22" t="s">
        <v>220</v>
      </c>
      <c r="F13" s="22" t="s">
        <v>221</v>
      </c>
      <c r="G13" s="22" t="s">
        <v>241</v>
      </c>
      <c r="H13" s="22" t="s">
        <v>229</v>
      </c>
      <c r="I13" s="22"/>
      <c r="J13" s="22" t="s">
        <v>230</v>
      </c>
    </row>
    <row r="14" s="96" customFormat="1" ht="19" customHeight="1" spans="1:11">
      <c r="A14" s="98"/>
      <c r="B14" s="46">
        <v>13</v>
      </c>
      <c r="C14" s="23" t="s">
        <v>243</v>
      </c>
      <c r="D14" s="22" t="str">
        <f t="shared" si="0"/>
        <v>0x200C</v>
      </c>
      <c r="E14" s="22" t="s">
        <v>220</v>
      </c>
      <c r="F14" s="22" t="s">
        <v>221</v>
      </c>
      <c r="G14" s="22" t="s">
        <v>241</v>
      </c>
      <c r="H14" s="22" t="s">
        <v>229</v>
      </c>
      <c r="I14" s="22"/>
      <c r="J14" s="22" t="s">
        <v>230</v>
      </c>
    </row>
    <row r="15" s="96" customFormat="1" ht="18.5" customHeight="1" spans="1:11">
      <c r="A15" s="98"/>
      <c r="B15" s="46">
        <v>14</v>
      </c>
      <c r="C15" s="23" t="s">
        <v>244</v>
      </c>
      <c r="D15" s="22" t="str">
        <f t="shared" si="0"/>
        <v>0x200D</v>
      </c>
      <c r="E15" s="22" t="s">
        <v>220</v>
      </c>
      <c r="F15" s="22" t="s">
        <v>221</v>
      </c>
      <c r="G15" s="98" t="s">
        <v>245</v>
      </c>
      <c r="H15" s="22" t="s">
        <v>229</v>
      </c>
      <c r="I15" s="22"/>
      <c r="J15" s="22" t="s">
        <v>230</v>
      </c>
    </row>
    <row r="16" s="96" customFormat="1" ht="18.5" customHeight="1" spans="1:11">
      <c r="A16" s="98"/>
      <c r="B16" s="46">
        <v>15</v>
      </c>
      <c r="C16" s="23" t="s">
        <v>246</v>
      </c>
      <c r="D16" s="22" t="str">
        <f t="shared" si="0"/>
        <v>0x200E</v>
      </c>
      <c r="E16" s="22" t="s">
        <v>220</v>
      </c>
      <c r="F16" s="22" t="s">
        <v>221</v>
      </c>
      <c r="G16" s="98" t="s">
        <v>245</v>
      </c>
      <c r="H16" s="22" t="s">
        <v>229</v>
      </c>
      <c r="I16" s="22"/>
      <c r="J16" s="22" t="s">
        <v>230</v>
      </c>
    </row>
    <row r="17" s="96" customFormat="1" ht="18.5" customHeight="1" spans="1:10">
      <c r="A17" s="98"/>
      <c r="B17" s="46">
        <v>16</v>
      </c>
      <c r="C17" s="23" t="s">
        <v>247</v>
      </c>
      <c r="D17" s="22" t="str">
        <f t="shared" si="0"/>
        <v>0x200F</v>
      </c>
      <c r="E17" s="22" t="s">
        <v>220</v>
      </c>
      <c r="F17" s="22" t="s">
        <v>221</v>
      </c>
      <c r="G17" s="22" t="s">
        <v>245</v>
      </c>
      <c r="H17" s="22" t="s">
        <v>229</v>
      </c>
      <c r="I17" s="22"/>
      <c r="J17" s="22" t="s">
        <v>230</v>
      </c>
    </row>
    <row r="18" s="96" customFormat="1" ht="18.5" customHeight="1" spans="1:10">
      <c r="A18" s="98"/>
      <c r="B18" s="46">
        <v>17</v>
      </c>
      <c r="C18" s="23" t="s">
        <v>248</v>
      </c>
      <c r="D18" s="22" t="str">
        <f t="shared" si="0"/>
        <v>0x2010</v>
      </c>
      <c r="E18" s="22" t="s">
        <v>220</v>
      </c>
      <c r="F18" s="22" t="s">
        <v>52</v>
      </c>
      <c r="G18" s="22" t="s">
        <v>241</v>
      </c>
      <c r="H18" s="22" t="s">
        <v>82</v>
      </c>
      <c r="I18" s="22"/>
      <c r="J18" s="22"/>
    </row>
    <row r="19" s="96" customFormat="1" ht="18.5" customHeight="1" spans="1:10">
      <c r="A19" s="98"/>
      <c r="B19" s="46">
        <v>18</v>
      </c>
      <c r="C19" s="23" t="s">
        <v>249</v>
      </c>
      <c r="D19" s="22" t="str">
        <f t="shared" si="0"/>
        <v>0x2011</v>
      </c>
      <c r="E19" s="22" t="s">
        <v>220</v>
      </c>
      <c r="F19" s="22" t="s">
        <v>52</v>
      </c>
      <c r="G19" s="22" t="s">
        <v>241</v>
      </c>
      <c r="H19" s="22" t="s">
        <v>82</v>
      </c>
      <c r="I19" s="22"/>
      <c r="J19" s="22"/>
    </row>
    <row r="20" s="96" customFormat="1" ht="18.5" customHeight="1" spans="1:10">
      <c r="A20" s="98"/>
      <c r="B20" s="46">
        <v>19</v>
      </c>
      <c r="C20" s="23" t="s">
        <v>250</v>
      </c>
      <c r="D20" s="22" t="str">
        <f t="shared" si="0"/>
        <v>0x2012</v>
      </c>
      <c r="E20" s="22" t="s">
        <v>220</v>
      </c>
      <c r="F20" s="22" t="s">
        <v>52</v>
      </c>
      <c r="G20" s="98" t="s">
        <v>241</v>
      </c>
      <c r="H20" s="22" t="s">
        <v>82</v>
      </c>
      <c r="I20" s="22"/>
      <c r="J20" s="22"/>
    </row>
    <row r="21" s="96" customFormat="1" ht="18.5" customHeight="1" spans="1:10">
      <c r="A21" s="98"/>
      <c r="B21" s="46">
        <v>20</v>
      </c>
      <c r="C21" s="23" t="s">
        <v>251</v>
      </c>
      <c r="D21" s="22" t="str">
        <f t="shared" si="0"/>
        <v>0x2013</v>
      </c>
      <c r="E21" s="22" t="s">
        <v>220</v>
      </c>
      <c r="F21" s="22" t="s">
        <v>52</v>
      </c>
      <c r="G21" s="98" t="s">
        <v>245</v>
      </c>
      <c r="H21" s="22" t="s">
        <v>82</v>
      </c>
      <c r="I21" s="22"/>
      <c r="J21" s="22"/>
    </row>
    <row r="22" s="96" customFormat="1" ht="18.5" customHeight="1" spans="1:10">
      <c r="A22" s="98"/>
      <c r="B22" s="46">
        <v>21</v>
      </c>
      <c r="C22" s="23" t="s">
        <v>252</v>
      </c>
      <c r="D22" s="22" t="str">
        <f t="shared" si="0"/>
        <v>0x2014</v>
      </c>
      <c r="E22" s="22" t="s">
        <v>220</v>
      </c>
      <c r="F22" s="22" t="s">
        <v>52</v>
      </c>
      <c r="G22" s="22" t="s">
        <v>245</v>
      </c>
      <c r="H22" s="22" t="s">
        <v>82</v>
      </c>
      <c r="I22" s="22"/>
      <c r="J22" s="22"/>
    </row>
    <row r="23" s="96" customFormat="1" ht="18.5" customHeight="1" spans="1:10">
      <c r="A23" s="98"/>
      <c r="B23" s="46">
        <v>22</v>
      </c>
      <c r="C23" s="23" t="s">
        <v>253</v>
      </c>
      <c r="D23" s="22" t="str">
        <f t="shared" si="0"/>
        <v>0x2015</v>
      </c>
      <c r="E23" s="22" t="s">
        <v>220</v>
      </c>
      <c r="F23" s="22" t="s">
        <v>52</v>
      </c>
      <c r="G23" s="22" t="s">
        <v>245</v>
      </c>
      <c r="H23" s="22" t="s">
        <v>82</v>
      </c>
      <c r="I23" s="22"/>
      <c r="J23" s="22"/>
    </row>
    <row r="24" s="96" customFormat="1" ht="18.5" customHeight="1" spans="1:10">
      <c r="A24" s="98"/>
      <c r="B24" s="46">
        <v>23</v>
      </c>
      <c r="C24" s="23" t="s">
        <v>254</v>
      </c>
      <c r="D24" s="22" t="str">
        <f t="shared" si="0"/>
        <v>0x2016</v>
      </c>
      <c r="E24" s="22" t="s">
        <v>220</v>
      </c>
      <c r="F24" s="22" t="s">
        <v>84</v>
      </c>
      <c r="G24" s="118" t="s">
        <v>255</v>
      </c>
      <c r="H24" s="22" t="s">
        <v>86</v>
      </c>
      <c r="I24" s="22"/>
      <c r="J24" s="22"/>
    </row>
    <row r="25" s="96" customFormat="1" ht="18.5" customHeight="1" spans="1:10">
      <c r="A25" s="98"/>
      <c r="B25" s="46">
        <v>24</v>
      </c>
      <c r="C25" s="23" t="s">
        <v>256</v>
      </c>
      <c r="D25" s="22" t="str">
        <f t="shared" si="0"/>
        <v>0x2017</v>
      </c>
      <c r="E25" s="22" t="s">
        <v>220</v>
      </c>
      <c r="F25" s="22" t="s">
        <v>84</v>
      </c>
      <c r="G25" s="120" t="s">
        <v>255</v>
      </c>
      <c r="H25" s="22" t="s">
        <v>86</v>
      </c>
      <c r="I25" s="22"/>
      <c r="J25" s="22"/>
    </row>
    <row r="26" s="96" customFormat="1" ht="18.5" customHeight="1" spans="1:10">
      <c r="A26" s="98"/>
      <c r="B26" s="46">
        <v>25</v>
      </c>
      <c r="C26" s="23" t="s">
        <v>257</v>
      </c>
      <c r="D26" s="22" t="str">
        <f t="shared" si="0"/>
        <v>0x2018</v>
      </c>
      <c r="E26" s="22" t="s">
        <v>220</v>
      </c>
      <c r="F26" s="22" t="s">
        <v>84</v>
      </c>
      <c r="G26" s="120" t="s">
        <v>255</v>
      </c>
      <c r="H26" s="22" t="s">
        <v>86</v>
      </c>
      <c r="I26" s="22"/>
      <c r="J26" s="22"/>
    </row>
    <row r="27" s="96" customFormat="1" ht="18.5" customHeight="1" spans="1:10">
      <c r="A27" s="98"/>
      <c r="B27" s="46">
        <v>26</v>
      </c>
      <c r="C27" s="23" t="s">
        <v>258</v>
      </c>
      <c r="D27" s="22" t="str">
        <f t="shared" si="0"/>
        <v>0x2019</v>
      </c>
      <c r="E27" s="22" t="s">
        <v>220</v>
      </c>
      <c r="F27" s="22" t="s">
        <v>84</v>
      </c>
      <c r="G27" s="118" t="s">
        <v>255</v>
      </c>
      <c r="H27" s="22" t="s">
        <v>86</v>
      </c>
      <c r="I27" s="22"/>
      <c r="J27" s="22"/>
    </row>
    <row r="28" s="96" customFormat="1" ht="18.5" customHeight="1" spans="1:10">
      <c r="A28" s="98"/>
      <c r="B28" s="46">
        <v>27</v>
      </c>
      <c r="C28" s="23" t="s">
        <v>259</v>
      </c>
      <c r="D28" s="22" t="str">
        <f t="shared" si="0"/>
        <v>0x201A</v>
      </c>
      <c r="E28" s="22" t="s">
        <v>220</v>
      </c>
      <c r="F28" s="22" t="s">
        <v>221</v>
      </c>
      <c r="G28" s="22" t="s">
        <v>260</v>
      </c>
      <c r="H28" s="22" t="s">
        <v>67</v>
      </c>
      <c r="I28" s="22"/>
      <c r="J28" s="22" t="s">
        <v>230</v>
      </c>
    </row>
    <row r="29" s="96" customFormat="1" ht="18.5" customHeight="1" spans="1:10">
      <c r="A29" s="98"/>
      <c r="B29" s="46">
        <v>28</v>
      </c>
      <c r="C29" s="23" t="s">
        <v>261</v>
      </c>
      <c r="D29" s="22" t="str">
        <f t="shared" si="0"/>
        <v>0x201B</v>
      </c>
      <c r="E29" s="22" t="s">
        <v>220</v>
      </c>
      <c r="F29" s="22" t="s">
        <v>221</v>
      </c>
      <c r="G29" s="22" t="s">
        <v>241</v>
      </c>
      <c r="H29" s="22" t="s">
        <v>82</v>
      </c>
      <c r="I29" s="22"/>
      <c r="J29" s="22"/>
    </row>
    <row r="30" s="96" customFormat="1" ht="18.5" customHeight="1" spans="1:10">
      <c r="A30" s="98" t="s">
        <v>262</v>
      </c>
      <c r="B30" s="46">
        <v>29</v>
      </c>
      <c r="C30" s="23" t="s">
        <v>263</v>
      </c>
      <c r="D30" s="22" t="str">
        <f t="shared" si="0"/>
        <v>0x201C</v>
      </c>
      <c r="E30" s="22" t="s">
        <v>220</v>
      </c>
      <c r="F30" s="22" t="s">
        <v>84</v>
      </c>
      <c r="G30" s="98" t="s">
        <v>264</v>
      </c>
      <c r="H30" s="46" t="s">
        <v>75</v>
      </c>
      <c r="I30" s="46"/>
      <c r="J30" s="22" t="s">
        <v>230</v>
      </c>
    </row>
    <row r="31" s="96" customFormat="1" ht="18.5" customHeight="1" spans="1:10">
      <c r="A31" s="98"/>
      <c r="B31" s="46">
        <v>30</v>
      </c>
      <c r="C31" s="23" t="s">
        <v>265</v>
      </c>
      <c r="D31" s="22" t="str">
        <f t="shared" si="0"/>
        <v>0x201D</v>
      </c>
      <c r="E31" s="22" t="s">
        <v>220</v>
      </c>
      <c r="F31" s="22" t="s">
        <v>84</v>
      </c>
      <c r="G31" s="98" t="s">
        <v>264</v>
      </c>
      <c r="H31" s="46" t="s">
        <v>75</v>
      </c>
      <c r="I31" s="46"/>
      <c r="J31" s="22" t="s">
        <v>230</v>
      </c>
    </row>
    <row r="32" s="96" customFormat="1" ht="18.5" customHeight="1" spans="1:10">
      <c r="A32" s="98"/>
      <c r="B32" s="46">
        <v>31</v>
      </c>
      <c r="C32" s="23" t="s">
        <v>266</v>
      </c>
      <c r="D32" s="22" t="str">
        <f t="shared" si="0"/>
        <v>0x201E</v>
      </c>
      <c r="E32" s="22" t="s">
        <v>220</v>
      </c>
      <c r="F32" s="22" t="s">
        <v>84</v>
      </c>
      <c r="G32" s="22" t="s">
        <v>264</v>
      </c>
      <c r="H32" s="46" t="s">
        <v>75</v>
      </c>
      <c r="I32" s="46"/>
      <c r="J32" s="22" t="s">
        <v>230</v>
      </c>
    </row>
    <row r="33" spans="1:10">
      <c r="A33" s="94"/>
      <c r="B33" s="46">
        <v>32</v>
      </c>
      <c r="C33" s="23" t="s">
        <v>267</v>
      </c>
      <c r="D33" s="22" t="str">
        <f t="shared" si="0"/>
        <v>0x201F</v>
      </c>
      <c r="E33" s="22" t="s">
        <v>220</v>
      </c>
      <c r="F33" s="22" t="s">
        <v>84</v>
      </c>
      <c r="G33" s="22" t="s">
        <v>264</v>
      </c>
      <c r="H33" s="100" t="s">
        <v>75</v>
      </c>
      <c r="I33" s="100"/>
      <c r="J33" s="22" t="s">
        <v>230</v>
      </c>
    </row>
    <row r="34" s="96" customFormat="1" ht="18.5" customHeight="1" spans="1:10">
      <c r="A34" s="98"/>
      <c r="B34" s="46">
        <v>33</v>
      </c>
      <c r="C34" s="23" t="s">
        <v>268</v>
      </c>
      <c r="D34" s="22" t="str">
        <f t="shared" si="0"/>
        <v>0x2020</v>
      </c>
      <c r="E34" s="22" t="s">
        <v>220</v>
      </c>
      <c r="F34" s="22" t="s">
        <v>84</v>
      </c>
      <c r="G34" s="22" t="s">
        <v>264</v>
      </c>
      <c r="H34" s="22" t="s">
        <v>269</v>
      </c>
      <c r="I34" s="22"/>
      <c r="J34" s="22" t="s">
        <v>230</v>
      </c>
    </row>
    <row r="35" s="96" customFormat="1" ht="18.5" customHeight="1" spans="1:10">
      <c r="A35" s="98"/>
      <c r="B35" s="46">
        <v>34</v>
      </c>
      <c r="C35" s="23" t="s">
        <v>270</v>
      </c>
      <c r="D35" s="22" t="str">
        <f t="shared" ref="D35:D71" si="1">CONCATENATE("0x",DEC2HEX((B35)+8191,4))</f>
        <v>0x2021</v>
      </c>
      <c r="E35" s="22" t="s">
        <v>220</v>
      </c>
      <c r="F35" s="22" t="s">
        <v>84</v>
      </c>
      <c r="G35" s="98" t="s">
        <v>264</v>
      </c>
      <c r="H35" s="22" t="s">
        <v>269</v>
      </c>
      <c r="I35" s="22"/>
      <c r="J35" s="22"/>
    </row>
    <row r="36" s="96" customFormat="1" ht="18.5" customHeight="1" spans="1:10">
      <c r="A36" s="98"/>
      <c r="B36" s="46">
        <v>35</v>
      </c>
      <c r="C36" s="23" t="s">
        <v>271</v>
      </c>
      <c r="D36" s="22" t="str">
        <f t="shared" si="1"/>
        <v>0x2022</v>
      </c>
      <c r="E36" s="22" t="s">
        <v>220</v>
      </c>
      <c r="F36" s="22" t="s">
        <v>84</v>
      </c>
      <c r="G36" s="98" t="s">
        <v>264</v>
      </c>
      <c r="H36" s="22" t="s">
        <v>269</v>
      </c>
      <c r="I36" s="22"/>
      <c r="J36" s="22"/>
    </row>
    <row r="37" s="96" customFormat="1" ht="18.5" customHeight="1" spans="1:10">
      <c r="A37" s="98"/>
      <c r="B37" s="46">
        <v>36</v>
      </c>
      <c r="C37" s="23" t="s">
        <v>272</v>
      </c>
      <c r="D37" s="22" t="str">
        <f t="shared" si="1"/>
        <v>0x2023</v>
      </c>
      <c r="E37" s="22" t="s">
        <v>220</v>
      </c>
      <c r="F37" s="22" t="s">
        <v>84</v>
      </c>
      <c r="G37" s="22" t="s">
        <v>264</v>
      </c>
      <c r="H37" s="22" t="s">
        <v>269</v>
      </c>
      <c r="I37" s="22"/>
      <c r="J37" s="22"/>
    </row>
    <row r="38" s="96" customFormat="1" ht="18.5" customHeight="1" spans="1:10">
      <c r="A38" s="98"/>
      <c r="B38" s="46">
        <v>37</v>
      </c>
      <c r="C38" s="23" t="s">
        <v>273</v>
      </c>
      <c r="D38" s="22" t="str">
        <f t="shared" si="1"/>
        <v>0x2024</v>
      </c>
      <c r="E38" s="22" t="s">
        <v>220</v>
      </c>
      <c r="F38" s="22" t="s">
        <v>84</v>
      </c>
      <c r="G38" s="22" t="s">
        <v>264</v>
      </c>
      <c r="H38" s="22" t="s">
        <v>274</v>
      </c>
      <c r="I38" s="22"/>
      <c r="J38" s="22"/>
    </row>
    <row r="39" s="96" customFormat="1" ht="18.5" customHeight="1" spans="1:10">
      <c r="A39" s="98"/>
      <c r="B39" s="46">
        <v>38</v>
      </c>
      <c r="C39" s="23" t="s">
        <v>275</v>
      </c>
      <c r="D39" s="22" t="str">
        <f t="shared" si="1"/>
        <v>0x2025</v>
      </c>
      <c r="E39" s="22" t="s">
        <v>220</v>
      </c>
      <c r="F39" s="22" t="s">
        <v>84</v>
      </c>
      <c r="G39" s="22" t="s">
        <v>264</v>
      </c>
      <c r="H39" s="22" t="s">
        <v>274</v>
      </c>
      <c r="I39" s="22"/>
      <c r="J39" s="22"/>
    </row>
    <row r="40" s="96" customFormat="1" ht="18.5" customHeight="1" spans="1:10">
      <c r="A40" s="98"/>
      <c r="B40" s="46">
        <v>39</v>
      </c>
      <c r="C40" s="23" t="s">
        <v>276</v>
      </c>
      <c r="D40" s="22" t="str">
        <f t="shared" si="1"/>
        <v>0x2026</v>
      </c>
      <c r="E40" s="22" t="s">
        <v>220</v>
      </c>
      <c r="F40" s="22" t="s">
        <v>84</v>
      </c>
      <c r="G40" s="98" t="s">
        <v>264</v>
      </c>
      <c r="H40" s="22" t="s">
        <v>274</v>
      </c>
      <c r="I40" s="22"/>
      <c r="J40" s="22"/>
    </row>
    <row r="41" s="96" customFormat="1" ht="18.5" customHeight="1" spans="1:10">
      <c r="A41" s="98"/>
      <c r="B41" s="46">
        <v>40</v>
      </c>
      <c r="C41" s="23" t="s">
        <v>277</v>
      </c>
      <c r="D41" s="22" t="str">
        <f t="shared" si="1"/>
        <v>0x2027</v>
      </c>
      <c r="E41" s="22" t="s">
        <v>220</v>
      </c>
      <c r="F41" s="22" t="s">
        <v>84</v>
      </c>
      <c r="G41" s="98" t="s">
        <v>264</v>
      </c>
      <c r="H41" s="22" t="s">
        <v>274</v>
      </c>
      <c r="I41" s="22"/>
      <c r="J41" s="22"/>
    </row>
    <row r="42" s="96" customFormat="1" ht="18.5" customHeight="1" spans="1:10">
      <c r="A42" s="98"/>
      <c r="B42" s="46">
        <v>41</v>
      </c>
      <c r="C42" s="23" t="s">
        <v>278</v>
      </c>
      <c r="D42" s="22" t="str">
        <f t="shared" si="1"/>
        <v>0x2028</v>
      </c>
      <c r="E42" s="22" t="s">
        <v>220</v>
      </c>
      <c r="F42" s="22" t="s">
        <v>52</v>
      </c>
      <c r="G42" s="22"/>
      <c r="H42" s="22" t="s">
        <v>75</v>
      </c>
      <c r="I42" s="22"/>
      <c r="J42" s="22"/>
    </row>
    <row r="43" s="96" customFormat="1" ht="18.5" customHeight="1" spans="1:10">
      <c r="A43" s="98"/>
      <c r="B43" s="46">
        <v>42</v>
      </c>
      <c r="C43" s="23" t="s">
        <v>279</v>
      </c>
      <c r="D43" s="22" t="str">
        <f t="shared" si="1"/>
        <v>0x2029</v>
      </c>
      <c r="E43" s="22" t="s">
        <v>220</v>
      </c>
      <c r="F43" s="22" t="s">
        <v>52</v>
      </c>
      <c r="G43" s="22" t="s">
        <v>264</v>
      </c>
      <c r="H43" s="22" t="s">
        <v>274</v>
      </c>
      <c r="I43" s="22"/>
      <c r="J43" s="22"/>
    </row>
    <row r="44" s="96" customFormat="1" ht="18.5" customHeight="1" spans="1:10">
      <c r="A44" s="98" t="s">
        <v>280</v>
      </c>
      <c r="B44" s="46">
        <v>43</v>
      </c>
      <c r="C44" s="23" t="s">
        <v>281</v>
      </c>
      <c r="D44" s="22" t="str">
        <f t="shared" si="1"/>
        <v>0x202A</v>
      </c>
      <c r="E44" s="22" t="s">
        <v>220</v>
      </c>
      <c r="F44" s="22" t="s">
        <v>84</v>
      </c>
      <c r="G44" s="22"/>
      <c r="H44" s="98" t="s">
        <v>282</v>
      </c>
      <c r="I44" s="98"/>
      <c r="J44" s="98"/>
    </row>
    <row r="45" s="96" customFormat="1" ht="18.5" customHeight="1" spans="1:10">
      <c r="A45" s="98"/>
      <c r="B45" s="46">
        <v>44</v>
      </c>
      <c r="C45" s="23" t="s">
        <v>283</v>
      </c>
      <c r="D45" s="22" t="str">
        <f t="shared" si="1"/>
        <v>0x202B</v>
      </c>
      <c r="E45" s="22" t="s">
        <v>220</v>
      </c>
      <c r="F45" s="22" t="s">
        <v>84</v>
      </c>
      <c r="G45" s="120" t="s">
        <v>284</v>
      </c>
      <c r="H45" s="98" t="s">
        <v>282</v>
      </c>
      <c r="I45" s="98"/>
      <c r="J45" s="98"/>
    </row>
    <row r="46" s="96" customFormat="1" ht="18.5" customHeight="1" spans="1:10">
      <c r="A46" s="98"/>
      <c r="B46" s="46">
        <v>45</v>
      </c>
      <c r="C46" s="23" t="s">
        <v>285</v>
      </c>
      <c r="D46" s="22" t="str">
        <f t="shared" si="1"/>
        <v>0x202C</v>
      </c>
      <c r="E46" s="22" t="s">
        <v>220</v>
      </c>
      <c r="F46" s="22" t="s">
        <v>84</v>
      </c>
      <c r="G46" s="120" t="s">
        <v>284</v>
      </c>
      <c r="H46" s="98" t="s">
        <v>282</v>
      </c>
      <c r="I46" s="98"/>
      <c r="J46" s="98"/>
    </row>
    <row r="47" s="96" customFormat="1" ht="18.5" customHeight="1" spans="1:10">
      <c r="A47" s="98"/>
      <c r="B47" s="46">
        <v>46</v>
      </c>
      <c r="C47" s="23" t="s">
        <v>286</v>
      </c>
      <c r="D47" s="22" t="str">
        <f t="shared" si="1"/>
        <v>0x202D</v>
      </c>
      <c r="E47" s="22" t="s">
        <v>220</v>
      </c>
      <c r="F47" s="22" t="s">
        <v>84</v>
      </c>
      <c r="G47" s="22" t="s">
        <v>284</v>
      </c>
      <c r="H47" s="98" t="s">
        <v>282</v>
      </c>
      <c r="I47" s="98"/>
      <c r="J47" s="98"/>
    </row>
    <row r="48" s="96" customFormat="1" ht="18.5" customHeight="1" spans="1:10">
      <c r="A48" s="98"/>
      <c r="B48" s="46">
        <v>47</v>
      </c>
      <c r="C48" s="23" t="s">
        <v>287</v>
      </c>
      <c r="D48" s="22" t="str">
        <f t="shared" si="1"/>
        <v>0x202E</v>
      </c>
      <c r="E48" s="22" t="s">
        <v>220</v>
      </c>
      <c r="F48" s="22" t="s">
        <v>84</v>
      </c>
      <c r="G48" s="22" t="s">
        <v>284</v>
      </c>
      <c r="H48" s="98" t="s">
        <v>282</v>
      </c>
      <c r="I48" s="98"/>
      <c r="J48" s="98"/>
    </row>
    <row r="49" s="96" customFormat="1" ht="18.5" customHeight="1" spans="1:10">
      <c r="A49" s="98"/>
      <c r="B49" s="46">
        <v>48</v>
      </c>
      <c r="C49" s="23" t="s">
        <v>288</v>
      </c>
      <c r="D49" s="22" t="str">
        <f t="shared" si="1"/>
        <v>0x202F</v>
      </c>
      <c r="E49" s="22" t="s">
        <v>220</v>
      </c>
      <c r="F49" s="22" t="s">
        <v>84</v>
      </c>
      <c r="G49" s="22" t="s">
        <v>284</v>
      </c>
      <c r="H49" s="98" t="s">
        <v>282</v>
      </c>
      <c r="I49" s="98"/>
      <c r="J49" s="98"/>
    </row>
    <row r="50" s="96" customFormat="1" ht="18.5" customHeight="1" spans="1:10">
      <c r="A50" s="98"/>
      <c r="B50" s="46">
        <v>49</v>
      </c>
      <c r="C50" s="23" t="s">
        <v>289</v>
      </c>
      <c r="D50" s="22" t="str">
        <f t="shared" si="1"/>
        <v>0x2030</v>
      </c>
      <c r="E50" s="22" t="s">
        <v>220</v>
      </c>
      <c r="F50" s="22" t="s">
        <v>84</v>
      </c>
      <c r="G50" s="98" t="s">
        <v>284</v>
      </c>
      <c r="H50" s="98" t="s">
        <v>282</v>
      </c>
      <c r="I50" s="98"/>
      <c r="J50" s="98"/>
    </row>
    <row r="51" s="96" customFormat="1" ht="18.5" customHeight="1" spans="1:10">
      <c r="A51" s="98"/>
      <c r="B51" s="46">
        <v>50</v>
      </c>
      <c r="C51" s="23" t="s">
        <v>290</v>
      </c>
      <c r="D51" s="22" t="str">
        <f t="shared" si="1"/>
        <v>0x2031</v>
      </c>
      <c r="E51" s="22" t="s">
        <v>220</v>
      </c>
      <c r="F51" s="22" t="s">
        <v>84</v>
      </c>
      <c r="G51" s="120" t="s">
        <v>291</v>
      </c>
      <c r="H51" s="98" t="s">
        <v>282</v>
      </c>
      <c r="I51" s="98"/>
      <c r="J51" s="98"/>
    </row>
    <row r="52" s="96" customFormat="1" ht="18.5" customHeight="1" spans="1:10">
      <c r="A52" s="98" t="s">
        <v>292</v>
      </c>
      <c r="B52" s="46">
        <v>51</v>
      </c>
      <c r="C52" s="23" t="s">
        <v>292</v>
      </c>
      <c r="D52" s="22" t="str">
        <f t="shared" si="1"/>
        <v>0x2032</v>
      </c>
      <c r="E52" s="22" t="s">
        <v>220</v>
      </c>
      <c r="F52" s="22" t="s">
        <v>52</v>
      </c>
      <c r="G52" s="98" t="s">
        <v>117</v>
      </c>
      <c r="H52" s="101" t="s">
        <v>293</v>
      </c>
      <c r="I52" s="98"/>
      <c r="J52" s="98"/>
    </row>
    <row r="53" s="96" customFormat="1" ht="18.5" customHeight="1" spans="1:10">
      <c r="A53" s="98"/>
      <c r="B53" s="46">
        <v>52</v>
      </c>
      <c r="C53" s="23" t="s">
        <v>294</v>
      </c>
      <c r="D53" s="22" t="str">
        <f t="shared" si="1"/>
        <v>0x2033</v>
      </c>
      <c r="E53" s="22" t="s">
        <v>220</v>
      </c>
      <c r="F53" s="22" t="s">
        <v>52</v>
      </c>
      <c r="G53" s="98" t="s">
        <v>117</v>
      </c>
      <c r="H53" s="101" t="s">
        <v>295</v>
      </c>
      <c r="I53" s="98"/>
      <c r="J53" s="98"/>
    </row>
    <row r="54" s="96" customFormat="1" ht="18.5" customHeight="1" spans="1:10">
      <c r="A54" s="22" t="s">
        <v>296</v>
      </c>
      <c r="B54" s="46">
        <v>53</v>
      </c>
      <c r="C54" s="23" t="s">
        <v>297</v>
      </c>
      <c r="D54" s="22" t="str">
        <f t="shared" si="1"/>
        <v>0x2034</v>
      </c>
      <c r="E54" s="22" t="s">
        <v>220</v>
      </c>
      <c r="F54" s="22" t="s">
        <v>221</v>
      </c>
      <c r="G54" s="98" t="s">
        <v>298</v>
      </c>
      <c r="H54" s="22" t="s">
        <v>299</v>
      </c>
      <c r="I54" s="22"/>
      <c r="J54" s="22" t="s">
        <v>230</v>
      </c>
    </row>
    <row r="55" s="96" customFormat="1" ht="18.5" customHeight="1" spans="1:10">
      <c r="A55" s="102"/>
      <c r="B55" s="46">
        <v>54</v>
      </c>
      <c r="C55" s="23" t="s">
        <v>300</v>
      </c>
      <c r="D55" s="22" t="str">
        <f t="shared" si="1"/>
        <v>0x2035</v>
      </c>
      <c r="E55" s="22" t="s">
        <v>220</v>
      </c>
      <c r="F55" s="22" t="s">
        <v>221</v>
      </c>
      <c r="G55" s="98" t="s">
        <v>298</v>
      </c>
      <c r="H55" s="22" t="s">
        <v>299</v>
      </c>
      <c r="I55" s="22"/>
      <c r="J55" s="22" t="s">
        <v>230</v>
      </c>
    </row>
    <row r="56" s="96" customFormat="1" ht="18.5" customHeight="1" spans="1:10">
      <c r="A56" s="102"/>
      <c r="B56" s="46">
        <v>55</v>
      </c>
      <c r="C56" s="23" t="s">
        <v>38</v>
      </c>
      <c r="D56" s="22" t="str">
        <f t="shared" si="1"/>
        <v>0x2036</v>
      </c>
      <c r="E56" s="22" t="s">
        <v>220</v>
      </c>
      <c r="F56" s="22" t="s">
        <v>221</v>
      </c>
      <c r="G56" s="98" t="s">
        <v>117</v>
      </c>
      <c r="H56" s="22" t="s">
        <v>301</v>
      </c>
      <c r="I56" s="22"/>
      <c r="J56" s="22"/>
    </row>
    <row r="57" s="96" customFormat="1" ht="18.5" customHeight="1" spans="1:10">
      <c r="A57" s="102"/>
      <c r="B57" s="46">
        <v>56</v>
      </c>
      <c r="C57" s="23" t="s">
        <v>38</v>
      </c>
      <c r="D57" s="22" t="str">
        <f t="shared" si="1"/>
        <v>0x2037</v>
      </c>
      <c r="E57" s="22" t="s">
        <v>220</v>
      </c>
      <c r="F57" s="22" t="s">
        <v>221</v>
      </c>
      <c r="G57" s="98" t="s">
        <v>117</v>
      </c>
      <c r="H57" s="22" t="s">
        <v>301</v>
      </c>
      <c r="I57" s="22"/>
      <c r="J57" s="22"/>
    </row>
    <row r="58" s="96" customFormat="1" ht="18.5" customHeight="1" spans="1:10">
      <c r="A58" s="102"/>
      <c r="B58" s="46">
        <v>57</v>
      </c>
      <c r="C58" s="23" t="s">
        <v>38</v>
      </c>
      <c r="D58" s="22" t="str">
        <f t="shared" si="1"/>
        <v>0x2038</v>
      </c>
      <c r="E58" s="22" t="s">
        <v>220</v>
      </c>
      <c r="F58" s="22" t="s">
        <v>221</v>
      </c>
      <c r="G58" s="98" t="s">
        <v>117</v>
      </c>
      <c r="H58" s="22" t="s">
        <v>301</v>
      </c>
      <c r="I58" s="22"/>
      <c r="J58" s="22"/>
    </row>
    <row r="59" s="96" customFormat="1" ht="18.5" customHeight="1" spans="1:10">
      <c r="A59" s="102"/>
      <c r="B59" s="46">
        <v>58</v>
      </c>
      <c r="C59" s="23" t="s">
        <v>38</v>
      </c>
      <c r="D59" s="22" t="str">
        <f t="shared" si="1"/>
        <v>0x2039</v>
      </c>
      <c r="E59" s="22" t="s">
        <v>220</v>
      </c>
      <c r="F59" s="22" t="s">
        <v>221</v>
      </c>
      <c r="G59" s="98" t="s">
        <v>117</v>
      </c>
      <c r="H59" s="22" t="s">
        <v>301</v>
      </c>
      <c r="I59" s="22"/>
      <c r="J59" s="22"/>
    </row>
    <row r="60" s="96" customFormat="1" ht="18.5" customHeight="1" spans="1:10">
      <c r="A60" s="102"/>
      <c r="B60" s="46">
        <v>59</v>
      </c>
      <c r="C60" s="23" t="s">
        <v>302</v>
      </c>
      <c r="D60" s="22" t="str">
        <f t="shared" si="1"/>
        <v>0x203A</v>
      </c>
      <c r="E60" s="22" t="s">
        <v>220</v>
      </c>
      <c r="F60" s="22" t="s">
        <v>221</v>
      </c>
      <c r="G60" s="98" t="s">
        <v>117</v>
      </c>
      <c r="H60" s="22" t="s">
        <v>301</v>
      </c>
      <c r="I60" s="22"/>
      <c r="J60" s="22"/>
    </row>
    <row r="61" s="96" customFormat="1" ht="18.5" customHeight="1" spans="1:10">
      <c r="A61" s="102"/>
      <c r="B61" s="46">
        <v>60</v>
      </c>
      <c r="C61" s="23" t="s">
        <v>303</v>
      </c>
      <c r="D61" s="22" t="str">
        <f t="shared" si="1"/>
        <v>0x203B</v>
      </c>
      <c r="E61" s="22" t="s">
        <v>220</v>
      </c>
      <c r="F61" s="22" t="s">
        <v>221</v>
      </c>
      <c r="G61" s="98" t="s">
        <v>117</v>
      </c>
      <c r="H61" s="22" t="s">
        <v>301</v>
      </c>
      <c r="I61" s="22"/>
      <c r="J61" s="22"/>
    </row>
    <row r="62" s="96" customFormat="1" ht="18.5" customHeight="1" spans="1:10">
      <c r="A62" s="98"/>
      <c r="B62" s="46">
        <v>61</v>
      </c>
      <c r="C62" s="23" t="s">
        <v>304</v>
      </c>
      <c r="D62" s="22" t="str">
        <f t="shared" si="1"/>
        <v>0x203C</v>
      </c>
      <c r="E62" s="22" t="s">
        <v>220</v>
      </c>
      <c r="F62" s="22" t="s">
        <v>52</v>
      </c>
      <c r="G62" s="98" t="s">
        <v>117</v>
      </c>
      <c r="H62" s="22" t="s">
        <v>301</v>
      </c>
      <c r="I62" s="22"/>
      <c r="J62" s="22"/>
    </row>
    <row r="63" s="96" customFormat="1" ht="18.5" customHeight="1" spans="1:10">
      <c r="A63" s="98"/>
      <c r="B63" s="46">
        <v>62</v>
      </c>
      <c r="C63" s="23" t="s">
        <v>305</v>
      </c>
      <c r="D63" s="22" t="str">
        <f t="shared" si="1"/>
        <v>0x203D</v>
      </c>
      <c r="E63" s="22" t="s">
        <v>220</v>
      </c>
      <c r="F63" s="22" t="s">
        <v>52</v>
      </c>
      <c r="G63" s="98" t="s">
        <v>117</v>
      </c>
      <c r="H63" s="22" t="s">
        <v>301</v>
      </c>
      <c r="I63" s="22"/>
      <c r="J63" s="22"/>
    </row>
    <row r="64" s="96" customFormat="1" ht="42" spans="1:10">
      <c r="A64" s="98"/>
      <c r="B64" s="46">
        <v>63</v>
      </c>
      <c r="C64" s="23" t="s">
        <v>306</v>
      </c>
      <c r="D64" s="22" t="str">
        <f t="shared" si="1"/>
        <v>0x203E</v>
      </c>
      <c r="E64" s="22" t="s">
        <v>220</v>
      </c>
      <c r="F64" s="22" t="s">
        <v>84</v>
      </c>
      <c r="G64" s="98" t="s">
        <v>117</v>
      </c>
      <c r="H64" s="22">
        <v>1</v>
      </c>
      <c r="I64" s="22"/>
      <c r="J64" s="23" t="s">
        <v>307</v>
      </c>
    </row>
    <row r="65" s="96" customFormat="1" ht="18.5" customHeight="1" spans="1:11">
      <c r="A65" s="98"/>
      <c r="B65" s="46">
        <v>64</v>
      </c>
      <c r="C65" s="23" t="s">
        <v>308</v>
      </c>
      <c r="D65" s="22" t="str">
        <f t="shared" si="1"/>
        <v>0x203F</v>
      </c>
      <c r="E65" s="22" t="s">
        <v>220</v>
      </c>
      <c r="F65" s="22" t="s">
        <v>52</v>
      </c>
      <c r="G65" s="98" t="s">
        <v>260</v>
      </c>
      <c r="H65" s="22" t="s">
        <v>309</v>
      </c>
      <c r="I65" s="22"/>
      <c r="J65" s="22"/>
    </row>
    <row r="66" s="96" customFormat="1" ht="18.5" customHeight="1" spans="1:11">
      <c r="A66" s="98"/>
      <c r="B66" s="46">
        <v>65</v>
      </c>
      <c r="C66" s="23" t="s">
        <v>310</v>
      </c>
      <c r="D66" s="22" t="str">
        <f t="shared" si="1"/>
        <v>0x2040</v>
      </c>
      <c r="E66" s="22" t="s">
        <v>220</v>
      </c>
      <c r="F66" s="22" t="s">
        <v>221</v>
      </c>
      <c r="G66" s="22" t="s">
        <v>222</v>
      </c>
      <c r="H66" s="22">
        <v>0.0001</v>
      </c>
      <c r="I66" s="22"/>
      <c r="J66" s="67"/>
    </row>
    <row r="67" s="96" customFormat="1" ht="18.5" customHeight="1" spans="1:11">
      <c r="A67" s="98"/>
      <c r="B67" s="46">
        <v>66</v>
      </c>
      <c r="C67" s="23" t="s">
        <v>311</v>
      </c>
      <c r="D67" s="22" t="str">
        <f t="shared" si="1"/>
        <v>0x2041</v>
      </c>
      <c r="E67" s="22" t="s">
        <v>220</v>
      </c>
      <c r="F67" s="22" t="s">
        <v>221</v>
      </c>
      <c r="G67" s="22" t="s">
        <v>298</v>
      </c>
      <c r="H67" s="22">
        <v>0.1</v>
      </c>
      <c r="I67" s="22"/>
      <c r="J67" s="67"/>
    </row>
    <row r="68" s="96" customFormat="1" ht="18.5" customHeight="1" spans="1:11">
      <c r="A68" s="98"/>
      <c r="B68" s="46">
        <v>67</v>
      </c>
      <c r="C68" s="23" t="s">
        <v>312</v>
      </c>
      <c r="D68" s="22" t="str">
        <f t="shared" si="1"/>
        <v>0x2042</v>
      </c>
      <c r="E68" s="22" t="s">
        <v>220</v>
      </c>
      <c r="F68" s="22" t="s">
        <v>221</v>
      </c>
      <c r="G68" s="22" t="s">
        <v>222</v>
      </c>
      <c r="H68" s="22">
        <v>0.0001</v>
      </c>
      <c r="I68" s="22"/>
      <c r="J68" s="67"/>
    </row>
    <row r="69" s="96" customFormat="1" ht="18.5" customHeight="1" spans="1:11">
      <c r="A69" s="98"/>
      <c r="B69" s="46">
        <v>68</v>
      </c>
      <c r="C69" s="23" t="s">
        <v>313</v>
      </c>
      <c r="D69" s="22" t="str">
        <f t="shared" si="1"/>
        <v>0x2043</v>
      </c>
      <c r="E69" s="22" t="s">
        <v>220</v>
      </c>
      <c r="F69" s="22" t="s">
        <v>221</v>
      </c>
      <c r="G69" s="22" t="s">
        <v>298</v>
      </c>
      <c r="H69" s="22">
        <v>0.1</v>
      </c>
      <c r="I69" s="22"/>
      <c r="J69" s="67"/>
    </row>
    <row r="70" s="96" customFormat="1" ht="18.5" customHeight="1" spans="1:11">
      <c r="A70" s="98"/>
      <c r="B70" s="46">
        <v>69</v>
      </c>
      <c r="C70" s="23" t="s">
        <v>314</v>
      </c>
      <c r="D70" s="22" t="str">
        <f t="shared" si="1"/>
        <v>0x2044</v>
      </c>
      <c r="E70" s="22" t="s">
        <v>220</v>
      </c>
      <c r="F70" s="22" t="s">
        <v>221</v>
      </c>
      <c r="G70" s="22" t="s">
        <v>222</v>
      </c>
      <c r="H70" s="22">
        <v>0.0001</v>
      </c>
      <c r="I70" s="22"/>
      <c r="J70" s="103"/>
    </row>
    <row r="71" s="96" customFormat="1" ht="18.5" customHeight="1" spans="1:11">
      <c r="A71" s="98"/>
      <c r="B71" s="46">
        <v>70</v>
      </c>
      <c r="C71" s="23" t="s">
        <v>315</v>
      </c>
      <c r="D71" s="22" t="str">
        <f t="shared" si="1"/>
        <v>0x2045</v>
      </c>
      <c r="E71" s="22" t="s">
        <v>220</v>
      </c>
      <c r="F71" s="22" t="s">
        <v>221</v>
      </c>
      <c r="G71" s="22" t="s">
        <v>298</v>
      </c>
      <c r="H71" s="22">
        <v>0.1</v>
      </c>
      <c r="I71" s="22"/>
      <c r="J71" s="103"/>
    </row>
    <row r="72" s="96" customFormat="1" ht="18.5" customHeight="1" spans="1:11">
      <c r="A72" s="98"/>
      <c r="B72" s="46">
        <v>71</v>
      </c>
      <c r="C72" s="23" t="s">
        <v>38</v>
      </c>
      <c r="D72" s="22" t="str">
        <f t="shared" ref="D72:D81" si="2">CONCATENATE("0x",DEC2HEX((B72)+8191,4))</f>
        <v>0x2046</v>
      </c>
      <c r="E72" s="22" t="s">
        <v>220</v>
      </c>
      <c r="F72" s="22" t="s">
        <v>221</v>
      </c>
      <c r="G72" s="99"/>
      <c r="H72" s="103"/>
      <c r="I72" s="103"/>
      <c r="J72" s="103"/>
    </row>
    <row r="73" s="96" customFormat="1" ht="18.5" customHeight="1" spans="1:11">
      <c r="A73" s="98"/>
      <c r="B73" s="46">
        <v>72</v>
      </c>
      <c r="C73" s="23" t="s">
        <v>38</v>
      </c>
      <c r="D73" s="22" t="str">
        <f t="shared" si="2"/>
        <v>0x2047</v>
      </c>
      <c r="E73" s="22" t="s">
        <v>220</v>
      </c>
      <c r="F73" s="22" t="s">
        <v>221</v>
      </c>
      <c r="G73" s="99"/>
      <c r="H73" s="103"/>
      <c r="I73" s="103"/>
      <c r="J73" s="103"/>
    </row>
    <row r="74" s="96" customFormat="1" ht="18.5" customHeight="1" spans="1:11">
      <c r="A74" s="98"/>
      <c r="B74" s="46">
        <v>73</v>
      </c>
      <c r="C74" s="23" t="s">
        <v>38</v>
      </c>
      <c r="D74" s="22" t="str">
        <f t="shared" si="2"/>
        <v>0x2048</v>
      </c>
      <c r="E74" s="22" t="s">
        <v>220</v>
      </c>
      <c r="F74" s="22" t="s">
        <v>221</v>
      </c>
      <c r="G74" s="104"/>
      <c r="H74" s="104"/>
      <c r="I74" s="104"/>
      <c r="J74" s="104"/>
    </row>
    <row r="75" s="96" customFormat="1" ht="18.5" customHeight="1" spans="1:11">
      <c r="A75" s="98"/>
      <c r="B75" s="46">
        <v>74</v>
      </c>
      <c r="C75" s="23" t="s">
        <v>38</v>
      </c>
      <c r="D75" s="22" t="str">
        <f t="shared" si="2"/>
        <v>0x2049</v>
      </c>
      <c r="E75" s="22" t="s">
        <v>220</v>
      </c>
      <c r="F75" s="22" t="s">
        <v>221</v>
      </c>
      <c r="G75" s="104"/>
      <c r="H75" s="104"/>
      <c r="I75" s="104"/>
      <c r="J75" s="104"/>
      <c r="K75" s="105"/>
    </row>
    <row r="76" spans="1:11">
      <c r="A76" s="98"/>
      <c r="B76" s="46">
        <v>75</v>
      </c>
      <c r="C76" s="23" t="s">
        <v>38</v>
      </c>
      <c r="D76" s="22" t="str">
        <f t="shared" si="2"/>
        <v>0x204A</v>
      </c>
      <c r="E76" s="22" t="s">
        <v>220</v>
      </c>
      <c r="F76" s="22" t="s">
        <v>221</v>
      </c>
      <c r="G76" s="104"/>
      <c r="H76" s="104"/>
      <c r="I76" s="104"/>
      <c r="J76" s="104"/>
    </row>
    <row r="77" spans="1:11">
      <c r="A77" s="98"/>
      <c r="B77" s="46">
        <v>76</v>
      </c>
      <c r="C77" s="23" t="s">
        <v>38</v>
      </c>
      <c r="D77" s="22" t="str">
        <f t="shared" si="2"/>
        <v>0x204B</v>
      </c>
      <c r="E77" s="22" t="s">
        <v>220</v>
      </c>
      <c r="F77" s="22" t="s">
        <v>221</v>
      </c>
      <c r="G77" s="104"/>
      <c r="H77" s="104"/>
      <c r="I77" s="104"/>
      <c r="J77" s="104"/>
    </row>
    <row r="78" spans="1:11">
      <c r="A78" s="106"/>
      <c r="B78" s="46">
        <v>77</v>
      </c>
      <c r="C78" s="23" t="s">
        <v>38</v>
      </c>
      <c r="D78" s="22" t="str">
        <f t="shared" si="2"/>
        <v>0x204C</v>
      </c>
      <c r="E78" s="22" t="s">
        <v>220</v>
      </c>
      <c r="F78" s="22" t="s">
        <v>221</v>
      </c>
      <c r="G78" s="104"/>
      <c r="H78" s="104"/>
      <c r="I78" s="104"/>
      <c r="J78" s="104"/>
    </row>
    <row r="79" spans="1:11">
      <c r="A79" s="106"/>
      <c r="B79" s="46">
        <v>78</v>
      </c>
      <c r="C79" s="23" t="s">
        <v>38</v>
      </c>
      <c r="D79" s="22" t="str">
        <f t="shared" si="2"/>
        <v>0x204D</v>
      </c>
      <c r="E79" s="22" t="s">
        <v>220</v>
      </c>
      <c r="F79" s="22" t="s">
        <v>221</v>
      </c>
      <c r="G79" s="104"/>
      <c r="H79" s="104"/>
      <c r="I79" s="104"/>
      <c r="J79" s="104"/>
    </row>
    <row r="80" spans="1:11">
      <c r="A80" s="106"/>
      <c r="B80" s="46">
        <v>79</v>
      </c>
      <c r="C80" s="23" t="s">
        <v>38</v>
      </c>
      <c r="D80" s="22" t="str">
        <f t="shared" si="2"/>
        <v>0x204E</v>
      </c>
      <c r="E80" s="22" t="s">
        <v>220</v>
      </c>
      <c r="F80" s="22" t="s">
        <v>221</v>
      </c>
    </row>
    <row r="81" ht="23.5" customHeight="1" spans="1:10">
      <c r="A81" s="106"/>
      <c r="B81" s="46">
        <v>80</v>
      </c>
      <c r="C81" s="23" t="s">
        <v>38</v>
      </c>
      <c r="D81" s="22" t="str">
        <f t="shared" si="2"/>
        <v>0x204F</v>
      </c>
      <c r="E81" s="22" t="s">
        <v>220</v>
      </c>
      <c r="F81" s="22" t="s">
        <v>221</v>
      </c>
    </row>
    <row r="82" ht="24" customHeight="1" spans="1:10">
      <c r="A82" s="106"/>
      <c r="B82" s="106"/>
      <c r="C82" s="107"/>
      <c r="D82" s="108"/>
      <c r="E82" s="109"/>
      <c r="F82" s="106"/>
      <c r="G82" s="106"/>
      <c r="H82" s="106"/>
      <c r="I82" s="106"/>
      <c r="J82" s="106"/>
    </row>
    <row r="83" spans="1:10">
      <c r="A83" s="106"/>
      <c r="B83" s="106"/>
      <c r="C83" s="107"/>
      <c r="D83" s="108"/>
      <c r="E83" s="109"/>
      <c r="F83" s="106"/>
      <c r="G83" s="106"/>
      <c r="H83" s="106"/>
      <c r="I83" s="106"/>
      <c r="J83" s="106"/>
    </row>
    <row r="84" spans="1:10">
      <c r="A84" s="106"/>
      <c r="B84" s="106"/>
      <c r="C84" s="107"/>
      <c r="D84" s="108"/>
      <c r="E84" s="109"/>
      <c r="F84" s="106"/>
      <c r="G84" s="106"/>
      <c r="H84" s="106"/>
      <c r="I84" s="106"/>
      <c r="J84" s="106"/>
    </row>
    <row r="85" spans="1:10">
      <c r="A85" s="106"/>
      <c r="B85" s="106"/>
      <c r="C85" s="107"/>
      <c r="D85" s="108"/>
      <c r="E85" s="109"/>
      <c r="F85" s="106"/>
      <c r="G85" s="106"/>
      <c r="H85" s="106"/>
      <c r="I85" s="106"/>
      <c r="J85" s="106"/>
    </row>
    <row r="86" spans="1:10">
      <c r="A86" s="106"/>
      <c r="B86" s="106"/>
      <c r="C86" s="107"/>
      <c r="D86" s="108"/>
      <c r="E86" s="109"/>
      <c r="F86" s="106"/>
      <c r="G86" s="106"/>
      <c r="H86" s="106"/>
      <c r="I86" s="106"/>
      <c r="J86" s="106"/>
    </row>
    <row r="87" spans="1:10">
      <c r="A87" s="106"/>
      <c r="B87" s="106"/>
      <c r="C87" s="107"/>
      <c r="D87" s="108"/>
      <c r="E87" s="109"/>
      <c r="F87" s="106"/>
      <c r="G87" s="106"/>
      <c r="H87" s="106"/>
      <c r="I87" s="106"/>
      <c r="J87" s="106"/>
    </row>
    <row r="88" spans="1:10">
      <c r="A88" s="106"/>
      <c r="B88" s="106"/>
      <c r="C88" s="107"/>
      <c r="D88" s="108"/>
      <c r="E88" s="109"/>
      <c r="F88" s="106"/>
      <c r="G88" s="106"/>
      <c r="H88" s="106"/>
      <c r="I88" s="106"/>
      <c r="J88" s="106"/>
    </row>
    <row r="89" spans="1:10">
      <c r="A89" s="106"/>
      <c r="B89" s="106"/>
      <c r="C89" s="107"/>
      <c r="D89" s="108"/>
      <c r="E89" s="109"/>
      <c r="F89" s="106"/>
      <c r="G89" s="106"/>
      <c r="H89" s="106"/>
      <c r="I89" s="106"/>
      <c r="J89" s="106"/>
    </row>
    <row r="90" spans="1:10">
      <c r="A90" s="106"/>
      <c r="B90" s="106"/>
      <c r="C90" s="107"/>
      <c r="D90" s="108"/>
      <c r="E90" s="109"/>
      <c r="F90" s="106"/>
      <c r="G90" s="106"/>
      <c r="H90" s="106"/>
      <c r="I90" s="106"/>
      <c r="J90" s="106"/>
    </row>
    <row r="91" spans="1:10">
      <c r="A91" s="106"/>
      <c r="B91" s="106"/>
      <c r="C91" s="107"/>
      <c r="D91" s="108"/>
      <c r="E91" s="109"/>
      <c r="F91" s="106"/>
      <c r="G91" s="106"/>
      <c r="H91" s="106"/>
      <c r="I91" s="106"/>
      <c r="J91" s="106"/>
    </row>
    <row r="92" spans="1:10">
      <c r="C92" s="107"/>
      <c r="D92" s="108"/>
      <c r="E92" s="109"/>
      <c r="F92" s="106"/>
      <c r="G92" s="106"/>
      <c r="H92" s="106"/>
      <c r="I92" s="106"/>
      <c r="J92" s="106"/>
    </row>
    <row r="93" spans="1:10">
      <c r="A93" s="110"/>
      <c r="C93" s="107"/>
      <c r="D93" s="108"/>
      <c r="E93" s="109"/>
      <c r="F93" s="106"/>
      <c r="G93" s="106"/>
      <c r="H93" s="106"/>
      <c r="I93" s="106"/>
      <c r="J93" s="106"/>
    </row>
    <row r="94" spans="1:10">
      <c r="C94" s="107"/>
      <c r="D94" s="108"/>
      <c r="E94" s="109"/>
      <c r="F94" s="106"/>
      <c r="G94" s="106"/>
      <c r="H94" s="106"/>
      <c r="I94" s="106"/>
      <c r="J94" s="106"/>
    </row>
    <row r="95" spans="1:10">
      <c r="A95" s="111"/>
      <c r="C95" s="107"/>
      <c r="D95" s="108"/>
      <c r="E95" s="109"/>
      <c r="F95" s="106"/>
      <c r="G95" s="106"/>
      <c r="H95" s="106"/>
      <c r="I95" s="106"/>
      <c r="J95" s="106"/>
    </row>
    <row r="96" spans="1:10">
      <c r="A96" s="111"/>
      <c r="C96" s="107"/>
      <c r="D96" s="108"/>
      <c r="E96" s="109"/>
      <c r="F96" s="106"/>
      <c r="G96" s="106"/>
      <c r="H96" s="106"/>
      <c r="I96" s="106"/>
      <c r="J96" s="106"/>
    </row>
    <row r="97" spans="1:10">
      <c r="A97" s="106"/>
      <c r="B97" s="106"/>
      <c r="C97" s="107"/>
      <c r="D97" s="108"/>
      <c r="E97" s="109"/>
      <c r="F97" s="106"/>
      <c r="G97" s="106"/>
      <c r="H97" s="106"/>
      <c r="I97" s="106"/>
      <c r="J97" s="106"/>
    </row>
    <row r="98" spans="1:10">
      <c r="A98" s="106"/>
      <c r="B98" s="106"/>
      <c r="C98" s="107"/>
      <c r="D98" s="108"/>
      <c r="E98" s="109"/>
      <c r="F98" s="106"/>
      <c r="G98" s="106"/>
      <c r="H98" s="106"/>
      <c r="I98" s="106"/>
      <c r="J98" s="106"/>
    </row>
    <row r="99" spans="1:10">
      <c r="A99" s="106"/>
      <c r="B99" s="106"/>
      <c r="C99" s="107"/>
      <c r="D99" s="108"/>
      <c r="E99" s="109"/>
      <c r="F99" s="106"/>
      <c r="G99" s="106"/>
      <c r="H99" s="106"/>
      <c r="I99" s="106"/>
      <c r="J99" s="106"/>
    </row>
    <row r="100" spans="1:10">
      <c r="A100" s="106"/>
      <c r="B100" s="106"/>
      <c r="C100" s="107"/>
      <c r="D100" s="108"/>
      <c r="E100" s="109"/>
      <c r="F100" s="106"/>
      <c r="G100" s="106"/>
      <c r="H100" s="106"/>
      <c r="I100" s="106"/>
      <c r="J100" s="106"/>
    </row>
    <row r="101" spans="1:10">
      <c r="A101" s="106"/>
      <c r="B101" s="106"/>
      <c r="C101" s="107"/>
      <c r="D101" s="108"/>
      <c r="E101" s="109"/>
      <c r="F101" s="106"/>
      <c r="G101" s="106"/>
      <c r="H101" s="106"/>
      <c r="I101" s="106"/>
      <c r="J101" s="106"/>
    </row>
    <row r="102" spans="1:10">
      <c r="A102" s="106"/>
      <c r="B102" s="106"/>
      <c r="C102" s="107"/>
      <c r="D102" s="108"/>
      <c r="E102" s="109"/>
      <c r="F102" s="106"/>
      <c r="G102" s="106"/>
      <c r="H102" s="106"/>
      <c r="I102" s="106"/>
      <c r="J102" s="106"/>
    </row>
    <row r="103" spans="1:10">
      <c r="A103" s="106"/>
      <c r="B103" s="106"/>
      <c r="C103" s="107"/>
      <c r="D103" s="108"/>
      <c r="E103" s="109"/>
      <c r="F103" s="106"/>
      <c r="G103" s="106"/>
      <c r="H103" s="106"/>
      <c r="I103" s="106"/>
      <c r="J103" s="106"/>
    </row>
    <row r="104" spans="1:10">
      <c r="A104" s="106"/>
      <c r="B104" s="106"/>
      <c r="C104" s="107"/>
      <c r="D104" s="108"/>
      <c r="E104" s="109"/>
      <c r="F104" s="106"/>
      <c r="G104" s="106"/>
      <c r="H104" s="106"/>
      <c r="I104" s="106"/>
      <c r="J104" s="106"/>
    </row>
    <row r="105" spans="1:10">
      <c r="A105" s="106"/>
      <c r="B105" s="106"/>
      <c r="C105" s="107"/>
      <c r="D105" s="108"/>
      <c r="E105" s="109"/>
      <c r="F105" s="106"/>
      <c r="G105" s="106"/>
      <c r="H105" s="106"/>
      <c r="I105" s="106"/>
      <c r="J105" s="106"/>
    </row>
    <row r="106" spans="1:10">
      <c r="A106" s="106"/>
      <c r="B106" s="106"/>
      <c r="C106" s="107"/>
      <c r="D106" s="108"/>
      <c r="E106" s="109"/>
      <c r="F106" s="106"/>
      <c r="G106" s="106"/>
      <c r="H106" s="106"/>
      <c r="I106" s="106"/>
      <c r="J106" s="106"/>
    </row>
    <row r="107" spans="1:10">
      <c r="A107" s="106"/>
      <c r="B107" s="106"/>
      <c r="C107" s="107"/>
      <c r="D107" s="108"/>
      <c r="E107" s="109"/>
      <c r="F107" s="106"/>
      <c r="G107" s="106"/>
      <c r="H107" s="106"/>
      <c r="I107" s="106"/>
      <c r="J107" s="106"/>
    </row>
    <row r="108" spans="1:10">
      <c r="A108" s="106"/>
      <c r="B108" s="106"/>
      <c r="C108" s="107"/>
      <c r="D108" s="108"/>
      <c r="E108" s="109"/>
      <c r="F108" s="106"/>
      <c r="G108" s="106"/>
      <c r="H108" s="106"/>
      <c r="I108" s="106"/>
      <c r="J108" s="106"/>
    </row>
    <row r="109" spans="1:10">
      <c r="A109" s="106"/>
      <c r="B109" s="106"/>
      <c r="C109" s="107"/>
      <c r="D109" s="108"/>
      <c r="E109" s="109"/>
      <c r="F109" s="106"/>
      <c r="G109" s="106"/>
      <c r="H109" s="106"/>
      <c r="I109" s="106"/>
      <c r="J109" s="106"/>
    </row>
    <row r="110" spans="1:10">
      <c r="A110" s="106"/>
      <c r="B110" s="106"/>
      <c r="C110" s="107"/>
      <c r="D110" s="108"/>
      <c r="E110" s="109"/>
      <c r="F110" s="106"/>
      <c r="G110" s="106"/>
      <c r="H110" s="106"/>
      <c r="I110" s="106"/>
      <c r="J110" s="106"/>
    </row>
    <row r="111" spans="1:10">
      <c r="A111" s="106"/>
      <c r="B111" s="106"/>
      <c r="C111" s="107"/>
      <c r="D111" s="108"/>
      <c r="E111" s="109"/>
      <c r="F111" s="106"/>
      <c r="G111" s="106"/>
      <c r="H111" s="106"/>
      <c r="I111" s="106"/>
      <c r="J111" s="106"/>
    </row>
    <row r="112" spans="1:10">
      <c r="A112" s="106"/>
      <c r="B112" s="106"/>
      <c r="C112" s="107"/>
      <c r="D112" s="108"/>
      <c r="E112" s="109"/>
      <c r="F112" s="106"/>
      <c r="G112" s="106"/>
      <c r="H112" s="106"/>
      <c r="I112" s="106"/>
      <c r="J112" s="106"/>
    </row>
    <row r="113" spans="1:10">
      <c r="A113" s="106"/>
      <c r="B113" s="106"/>
      <c r="C113" s="107"/>
      <c r="D113" s="108"/>
      <c r="E113" s="109"/>
      <c r="F113" s="106"/>
      <c r="G113" s="106"/>
      <c r="H113" s="106"/>
      <c r="I113" s="106"/>
      <c r="J113" s="106"/>
    </row>
    <row r="114" spans="1:10">
      <c r="A114" s="106"/>
      <c r="B114" s="106"/>
      <c r="C114" s="107"/>
      <c r="D114" s="108"/>
      <c r="E114" s="109"/>
      <c r="F114" s="106"/>
      <c r="G114" s="106"/>
      <c r="H114" s="106"/>
      <c r="I114" s="106"/>
      <c r="J114" s="106"/>
    </row>
    <row r="115" spans="1:10">
      <c r="A115" s="106"/>
      <c r="B115" s="106"/>
      <c r="C115" s="107"/>
      <c r="D115" s="108"/>
      <c r="E115" s="109"/>
      <c r="F115" s="106"/>
      <c r="G115" s="106"/>
      <c r="H115" s="106"/>
      <c r="I115" s="106"/>
      <c r="J115" s="106"/>
    </row>
    <row r="116" spans="1:10">
      <c r="A116" s="106"/>
      <c r="B116" s="106"/>
      <c r="C116" s="107"/>
      <c r="D116" s="108"/>
      <c r="E116" s="109"/>
      <c r="F116" s="106"/>
      <c r="G116" s="106"/>
      <c r="H116" s="106"/>
      <c r="I116" s="106"/>
      <c r="J116" s="106"/>
    </row>
    <row r="117" spans="1:10">
      <c r="A117" s="106"/>
      <c r="B117" s="106"/>
      <c r="C117" s="107"/>
      <c r="D117" s="108"/>
      <c r="E117" s="109"/>
      <c r="F117" s="106"/>
      <c r="G117" s="106"/>
      <c r="H117" s="106"/>
      <c r="I117" s="106"/>
      <c r="J117" s="106"/>
    </row>
    <row r="118" spans="1:10">
      <c r="A118" s="106"/>
      <c r="B118" s="106"/>
      <c r="C118" s="107"/>
      <c r="D118" s="108"/>
      <c r="E118" s="109"/>
      <c r="F118" s="106"/>
      <c r="G118" s="106"/>
      <c r="H118" s="106"/>
      <c r="I118" s="106"/>
      <c r="J118" s="106"/>
    </row>
    <row r="119" spans="1:10">
      <c r="A119" s="106"/>
      <c r="B119" s="106"/>
      <c r="C119" s="107"/>
      <c r="D119" s="108"/>
      <c r="E119" s="109"/>
      <c r="F119" s="106"/>
      <c r="G119" s="106"/>
      <c r="H119" s="106"/>
      <c r="I119" s="106"/>
      <c r="J119" s="106"/>
    </row>
    <row r="120" spans="1:10">
      <c r="A120" s="106"/>
      <c r="B120" s="106"/>
      <c r="C120" s="107"/>
      <c r="D120" s="108"/>
      <c r="E120" s="109"/>
      <c r="F120" s="106"/>
      <c r="G120" s="106"/>
      <c r="H120" s="106"/>
      <c r="I120" s="106"/>
      <c r="J120" s="106"/>
    </row>
    <row r="121" spans="1:10">
      <c r="A121" s="106"/>
      <c r="B121" s="106"/>
      <c r="C121" s="107"/>
      <c r="D121" s="108"/>
      <c r="E121" s="109"/>
      <c r="F121" s="109"/>
      <c r="G121" s="109"/>
      <c r="H121" s="109"/>
      <c r="I121" s="109"/>
      <c r="J121" s="109"/>
    </row>
    <row r="122" spans="1:10">
      <c r="A122" s="106"/>
      <c r="B122" s="106"/>
      <c r="C122" s="107"/>
      <c r="D122" s="108"/>
      <c r="E122" s="109"/>
      <c r="F122" s="109"/>
      <c r="G122" s="109"/>
      <c r="H122" s="106"/>
      <c r="I122" s="106"/>
      <c r="J122" s="106"/>
    </row>
    <row r="123" spans="1:10">
      <c r="A123" s="106"/>
      <c r="B123" s="106"/>
      <c r="C123" s="107"/>
      <c r="D123" s="108"/>
      <c r="E123" s="109"/>
      <c r="F123" s="106"/>
      <c r="G123" s="106"/>
      <c r="H123" s="106"/>
      <c r="I123" s="106"/>
      <c r="J123" s="106"/>
    </row>
    <row r="124" spans="1:10">
      <c r="A124" s="106"/>
      <c r="B124" s="106"/>
      <c r="C124" s="107"/>
      <c r="D124" s="108"/>
      <c r="E124" s="109"/>
      <c r="F124" s="106"/>
      <c r="G124" s="106"/>
      <c r="H124" s="106"/>
      <c r="I124" s="106"/>
      <c r="J124" s="106"/>
    </row>
    <row r="125" spans="1:10">
      <c r="A125" s="106"/>
      <c r="B125" s="106"/>
      <c r="C125" s="107"/>
      <c r="D125" s="108"/>
      <c r="E125" s="109"/>
      <c r="F125" s="106"/>
      <c r="G125" s="106"/>
      <c r="H125" s="106"/>
      <c r="I125" s="106"/>
      <c r="J125" s="106"/>
    </row>
    <row r="126" spans="1:10">
      <c r="A126" s="106"/>
      <c r="B126" s="109"/>
      <c r="C126" s="107"/>
      <c r="D126" s="108"/>
      <c r="E126" s="109"/>
      <c r="F126" s="106"/>
      <c r="G126" s="106"/>
      <c r="H126" s="106"/>
      <c r="I126" s="106"/>
      <c r="J126" s="106"/>
    </row>
    <row r="127" spans="1:10">
      <c r="A127" s="106"/>
      <c r="B127" s="109"/>
    </row>
    <row r="128" spans="1:10">
      <c r="A128" s="106"/>
      <c r="B128" s="106"/>
    </row>
    <row r="129" spans="1:10">
      <c r="A129" s="106"/>
      <c r="B129" s="106"/>
    </row>
    <row r="130" spans="1:10">
      <c r="A130" s="106"/>
      <c r="B130" s="106"/>
    </row>
    <row r="131" spans="1:10">
      <c r="A131" s="106"/>
      <c r="B131" s="106"/>
    </row>
    <row r="133" spans="1:10">
      <c r="A133" s="110"/>
    </row>
    <row r="135" spans="1:10">
      <c r="A135" s="111"/>
    </row>
    <row r="136" spans="1:10">
      <c r="A136" s="111"/>
    </row>
    <row r="137" spans="1:10">
      <c r="A137" s="106"/>
      <c r="B137" s="106"/>
      <c r="C137" s="107"/>
      <c r="D137" s="108"/>
      <c r="E137" s="109"/>
      <c r="F137" s="106"/>
      <c r="G137" s="106"/>
      <c r="H137" s="106"/>
      <c r="I137" s="106"/>
      <c r="J137" s="106"/>
    </row>
    <row r="138" spans="1:10">
      <c r="A138" s="106"/>
      <c r="B138" s="106"/>
      <c r="C138" s="107"/>
      <c r="D138" s="108"/>
      <c r="E138" s="109"/>
      <c r="F138" s="106"/>
      <c r="G138" s="106"/>
      <c r="H138" s="106"/>
      <c r="I138" s="106"/>
      <c r="J138" s="106"/>
    </row>
    <row r="139" spans="1:10">
      <c r="A139" s="106"/>
      <c r="B139" s="106"/>
      <c r="C139" s="107"/>
      <c r="D139" s="108"/>
      <c r="E139" s="109"/>
      <c r="F139" s="106"/>
      <c r="G139" s="106"/>
      <c r="H139" s="106"/>
      <c r="I139" s="106"/>
      <c r="J139" s="106"/>
    </row>
    <row r="140" spans="1:10">
      <c r="A140" s="106"/>
      <c r="B140" s="106"/>
      <c r="C140" s="107"/>
      <c r="D140" s="108"/>
      <c r="E140" s="109"/>
      <c r="F140" s="106"/>
      <c r="G140" s="106"/>
      <c r="H140" s="106"/>
      <c r="I140" s="106"/>
      <c r="J140" s="106"/>
    </row>
    <row r="141" spans="1:10">
      <c r="A141" s="106"/>
      <c r="B141" s="106"/>
      <c r="C141" s="107"/>
      <c r="D141" s="108"/>
      <c r="E141" s="109"/>
      <c r="F141" s="106"/>
      <c r="G141" s="106"/>
      <c r="H141" s="106"/>
      <c r="I141" s="106"/>
      <c r="J141" s="106"/>
    </row>
    <row r="142" spans="1:10">
      <c r="A142" s="106"/>
      <c r="B142" s="106"/>
      <c r="C142" s="107"/>
      <c r="D142" s="108"/>
      <c r="E142" s="109"/>
      <c r="F142" s="106"/>
      <c r="G142" s="106"/>
      <c r="H142" s="106"/>
      <c r="I142" s="106"/>
      <c r="J142" s="106"/>
    </row>
    <row r="143" spans="1:10">
      <c r="A143" s="106"/>
      <c r="B143" s="106"/>
      <c r="C143" s="107"/>
      <c r="D143" s="108"/>
      <c r="E143" s="109"/>
      <c r="F143" s="106"/>
      <c r="G143" s="106"/>
      <c r="H143" s="106"/>
      <c r="I143" s="106"/>
      <c r="J143" s="106"/>
    </row>
    <row r="144" spans="1:10">
      <c r="A144" s="106"/>
      <c r="B144" s="106"/>
      <c r="C144" s="107"/>
      <c r="D144" s="108"/>
      <c r="E144" s="109"/>
      <c r="F144" s="106"/>
      <c r="G144" s="106"/>
      <c r="H144" s="106"/>
      <c r="I144" s="106"/>
      <c r="J144" s="106"/>
    </row>
    <row r="145" spans="1:10">
      <c r="A145" s="106"/>
      <c r="B145" s="106"/>
      <c r="C145" s="107"/>
      <c r="D145" s="108"/>
      <c r="E145" s="109"/>
      <c r="F145" s="106"/>
      <c r="G145" s="106"/>
      <c r="H145" s="106"/>
      <c r="I145" s="106"/>
      <c r="J145" s="106"/>
    </row>
    <row r="146" spans="1:10">
      <c r="A146" s="106"/>
      <c r="B146" s="106"/>
      <c r="C146" s="107"/>
      <c r="D146" s="108"/>
      <c r="E146" s="109"/>
      <c r="F146" s="106"/>
      <c r="G146" s="106"/>
      <c r="H146" s="106"/>
      <c r="I146" s="106"/>
      <c r="J146" s="106"/>
    </row>
    <row r="225" spans="13:13">
      <c r="M225" t="s">
        <v>316</v>
      </c>
    </row>
    <row r="226" spans="13:13">
      <c r="M226" t="s">
        <v>316</v>
      </c>
    </row>
    <row r="227" spans="13:13">
      <c r="M227" t="s">
        <v>316</v>
      </c>
    </row>
    <row r="228" spans="13:13">
      <c r="M228" t="s">
        <v>316</v>
      </c>
    </row>
    <row r="229" spans="13:13">
      <c r="M229" t="s">
        <v>316</v>
      </c>
    </row>
    <row r="230" spans="13:13">
      <c r="M230" t="s">
        <v>316</v>
      </c>
    </row>
    <row r="231" spans="13:13">
      <c r="M231" t="s">
        <v>316</v>
      </c>
    </row>
    <row r="232" spans="13:13">
      <c r="M232" t="s">
        <v>316</v>
      </c>
    </row>
    <row r="233" spans="13:13">
      <c r="M233" t="s">
        <v>316</v>
      </c>
    </row>
    <row r="234" spans="13:13">
      <c r="M234" t="s">
        <v>316</v>
      </c>
    </row>
    <row r="235" spans="13:13">
      <c r="M235" t="s">
        <v>316</v>
      </c>
    </row>
    <row r="236" spans="13:13">
      <c r="M236" t="s">
        <v>316</v>
      </c>
    </row>
    <row r="237" spans="13:13">
      <c r="M237" t="s">
        <v>316</v>
      </c>
    </row>
    <row r="238" spans="13:13">
      <c r="M238" t="s">
        <v>316</v>
      </c>
    </row>
    <row r="239" spans="13:13">
      <c r="M239" t="s">
        <v>316</v>
      </c>
    </row>
    <row r="240" spans="13:13">
      <c r="M240" t="s">
        <v>316</v>
      </c>
    </row>
    <row r="241" spans="13:13">
      <c r="M241" t="s">
        <v>316</v>
      </c>
    </row>
    <row r="242" spans="13:13">
      <c r="M242" t="s">
        <v>316</v>
      </c>
    </row>
    <row r="243" spans="13:13">
      <c r="M243" t="s">
        <v>316</v>
      </c>
    </row>
    <row r="244" spans="13:13">
      <c r="M244" t="s">
        <v>316</v>
      </c>
    </row>
    <row r="245" spans="13:13">
      <c r="M245" t="s">
        <v>316</v>
      </c>
    </row>
    <row r="246" spans="13:13">
      <c r="M246" t="s">
        <v>316</v>
      </c>
    </row>
    <row r="247" spans="13:13">
      <c r="M247" t="s">
        <v>316</v>
      </c>
    </row>
    <row r="248" spans="13:13">
      <c r="M248" t="s">
        <v>316</v>
      </c>
    </row>
    <row r="249" spans="13:13">
      <c r="M249" t="s">
        <v>316</v>
      </c>
    </row>
    <row r="250" spans="13:13">
      <c r="M250" t="s">
        <v>316</v>
      </c>
    </row>
    <row r="251" spans="13:13">
      <c r="M251" t="s">
        <v>316</v>
      </c>
    </row>
    <row r="252" spans="13:13">
      <c r="M252" t="s">
        <v>316</v>
      </c>
    </row>
    <row r="253" spans="13:13">
      <c r="M253" t="s">
        <v>316</v>
      </c>
    </row>
    <row r="254" spans="13:13">
      <c r="M254" t="s">
        <v>316</v>
      </c>
    </row>
    <row r="255" spans="13:13">
      <c r="M255" t="s">
        <v>316</v>
      </c>
    </row>
    <row r="256" spans="13:13">
      <c r="M256" t="s">
        <v>316</v>
      </c>
    </row>
    <row r="257" spans="13:13">
      <c r="M257" t="s">
        <v>316</v>
      </c>
    </row>
    <row r="258" spans="13:13">
      <c r="M258" t="s">
        <v>316</v>
      </c>
    </row>
    <row r="259" spans="13:13">
      <c r="M259" t="s">
        <v>316</v>
      </c>
    </row>
    <row r="260" spans="13:13">
      <c r="M260" t="s">
        <v>316</v>
      </c>
    </row>
    <row r="261" spans="13:13">
      <c r="M261" t="s">
        <v>316</v>
      </c>
    </row>
    <row r="262" spans="13:13">
      <c r="M262" t="s">
        <v>316</v>
      </c>
    </row>
    <row r="263" spans="13:13">
      <c r="M263" t="s">
        <v>316</v>
      </c>
    </row>
    <row r="264" spans="13:13">
      <c r="M264" t="s">
        <v>316</v>
      </c>
    </row>
    <row r="265" spans="13:13">
      <c r="M265" t="s">
        <v>316</v>
      </c>
    </row>
    <row r="266" spans="13:13">
      <c r="M266" t="s">
        <v>316</v>
      </c>
    </row>
    <row r="267" spans="13:13">
      <c r="M267" t="s">
        <v>316</v>
      </c>
    </row>
    <row r="268" spans="13:13">
      <c r="M268" t="s">
        <v>316</v>
      </c>
    </row>
    <row r="269" spans="13:13">
      <c r="M269" t="s">
        <v>316</v>
      </c>
    </row>
    <row r="270" spans="13:13">
      <c r="M270" t="s">
        <v>316</v>
      </c>
    </row>
    <row r="271" spans="13:13">
      <c r="M271" t="s">
        <v>316</v>
      </c>
    </row>
    <row r="272" spans="13:13">
      <c r="M272" t="s">
        <v>316</v>
      </c>
    </row>
    <row r="273" spans="13:13">
      <c r="M273" t="s">
        <v>316</v>
      </c>
    </row>
    <row r="274" spans="13:13">
      <c r="M274" t="s">
        <v>316</v>
      </c>
    </row>
    <row r="275" spans="13:13">
      <c r="M275" t="s">
        <v>316</v>
      </c>
    </row>
    <row r="276" spans="13:13">
      <c r="M276" t="s">
        <v>316</v>
      </c>
    </row>
    <row r="277" spans="13:13">
      <c r="M277" t="s">
        <v>316</v>
      </c>
    </row>
    <row r="278" spans="13:13">
      <c r="M278" t="s">
        <v>316</v>
      </c>
    </row>
    <row r="279" spans="13:13">
      <c r="M279" t="s">
        <v>316</v>
      </c>
    </row>
    <row r="280" spans="13:13">
      <c r="M280" t="s">
        <v>316</v>
      </c>
    </row>
    <row r="281" spans="13:13">
      <c r="M281" t="s">
        <v>316</v>
      </c>
    </row>
    <row r="282" spans="13:13">
      <c r="M282" t="s">
        <v>316</v>
      </c>
    </row>
    <row r="283" spans="13:13">
      <c r="M283" t="s">
        <v>316</v>
      </c>
    </row>
    <row r="284" spans="13:13">
      <c r="M284" t="s">
        <v>316</v>
      </c>
    </row>
    <row r="285" spans="13:13">
      <c r="M285" t="s">
        <v>316</v>
      </c>
    </row>
    <row r="286" spans="13:13">
      <c r="M286" t="s">
        <v>316</v>
      </c>
    </row>
    <row r="287" spans="13:13">
      <c r="M287" t="s">
        <v>316</v>
      </c>
    </row>
    <row r="288" spans="13:13">
      <c r="M288" t="s">
        <v>316</v>
      </c>
    </row>
    <row r="289" spans="13:13">
      <c r="M289" t="s">
        <v>316</v>
      </c>
    </row>
    <row r="290" spans="13:13">
      <c r="M290" t="s">
        <v>316</v>
      </c>
    </row>
    <row r="291" spans="13:13">
      <c r="M291" t="s">
        <v>316</v>
      </c>
    </row>
    <row r="292" spans="13:13">
      <c r="M292" t="s">
        <v>316</v>
      </c>
    </row>
    <row r="293" spans="13:13">
      <c r="M293" t="s">
        <v>316</v>
      </c>
    </row>
    <row r="294" spans="13:13">
      <c r="M294" t="s">
        <v>316</v>
      </c>
    </row>
    <row r="295" spans="13:13">
      <c r="M295" t="s">
        <v>316</v>
      </c>
    </row>
    <row r="296" spans="13:13">
      <c r="M296" t="s">
        <v>316</v>
      </c>
    </row>
    <row r="297" spans="13:13">
      <c r="M297" t="s">
        <v>316</v>
      </c>
    </row>
    <row r="298" spans="13:13">
      <c r="M298" t="s">
        <v>316</v>
      </c>
    </row>
    <row r="299" spans="13:13">
      <c r="M299" t="s">
        <v>316</v>
      </c>
    </row>
    <row r="300" spans="13:13">
      <c r="M300" t="s">
        <v>316</v>
      </c>
    </row>
    <row r="301" spans="13:13">
      <c r="M301" t="s">
        <v>316</v>
      </c>
    </row>
    <row r="302" spans="13:13">
      <c r="M302" t="s">
        <v>316</v>
      </c>
    </row>
    <row r="303" spans="13:13">
      <c r="M303" t="s">
        <v>316</v>
      </c>
    </row>
    <row r="304" spans="13:13">
      <c r="M304" t="s">
        <v>316</v>
      </c>
    </row>
    <row r="305" spans="13:13">
      <c r="M305" t="s">
        <v>316</v>
      </c>
    </row>
    <row r="306" spans="13:13">
      <c r="M306" t="s">
        <v>316</v>
      </c>
    </row>
    <row r="307" spans="13:13">
      <c r="M307" t="s">
        <v>316</v>
      </c>
    </row>
    <row r="308" spans="13:13">
      <c r="M308" t="s">
        <v>316</v>
      </c>
    </row>
    <row r="309" spans="13:13">
      <c r="M309" t="s">
        <v>316</v>
      </c>
    </row>
    <row r="310" spans="13:13">
      <c r="M310" t="s">
        <v>316</v>
      </c>
    </row>
    <row r="311" spans="13:13">
      <c r="M311" t="s">
        <v>316</v>
      </c>
    </row>
    <row r="312" spans="13:13">
      <c r="M312" t="s">
        <v>316</v>
      </c>
    </row>
    <row r="313" spans="13:13">
      <c r="M313" t="s">
        <v>316</v>
      </c>
    </row>
    <row r="314" spans="13:13">
      <c r="M314" t="s">
        <v>316</v>
      </c>
    </row>
    <row r="315" spans="13:13">
      <c r="M315" t="s">
        <v>316</v>
      </c>
    </row>
    <row r="316" spans="13:13">
      <c r="M316" t="s">
        <v>316</v>
      </c>
    </row>
    <row r="317" spans="13:13">
      <c r="M317" t="s">
        <v>316</v>
      </c>
    </row>
    <row r="318" spans="13:13">
      <c r="M318" t="s">
        <v>316</v>
      </c>
    </row>
    <row r="319" spans="13:13">
      <c r="M319" t="s">
        <v>316</v>
      </c>
    </row>
    <row r="320" spans="13:13">
      <c r="M320" t="s">
        <v>316</v>
      </c>
    </row>
    <row r="321" spans="13:13">
      <c r="M321" t="s">
        <v>316</v>
      </c>
    </row>
    <row r="322" spans="13:13">
      <c r="M322" t="s">
        <v>316</v>
      </c>
    </row>
    <row r="323" spans="13:13">
      <c r="M323" t="s">
        <v>316</v>
      </c>
    </row>
    <row r="324" spans="13:13">
      <c r="M324" t="s">
        <v>316</v>
      </c>
    </row>
    <row r="325" spans="13:13">
      <c r="M325" t="s">
        <v>316</v>
      </c>
    </row>
    <row r="326" spans="13:13">
      <c r="M326" t="s">
        <v>316</v>
      </c>
    </row>
    <row r="327" spans="13:13">
      <c r="M327" t="s">
        <v>316</v>
      </c>
    </row>
    <row r="328" spans="13:13">
      <c r="M328" t="s">
        <v>316</v>
      </c>
    </row>
    <row r="329" spans="13:13">
      <c r="M329" t="s">
        <v>316</v>
      </c>
    </row>
    <row r="330" spans="13:13">
      <c r="M330" t="s">
        <v>316</v>
      </c>
    </row>
    <row r="331" spans="13:13">
      <c r="M331" t="s">
        <v>316</v>
      </c>
    </row>
    <row r="332" spans="13:13">
      <c r="M332" t="s">
        <v>316</v>
      </c>
    </row>
    <row r="333" spans="13:13">
      <c r="M333" t="s">
        <v>316</v>
      </c>
    </row>
    <row r="334" spans="13:13">
      <c r="M334" t="s">
        <v>316</v>
      </c>
    </row>
    <row r="335" spans="13:13">
      <c r="M335" t="s">
        <v>316</v>
      </c>
    </row>
    <row r="336" spans="13:13">
      <c r="M336" t="s">
        <v>316</v>
      </c>
    </row>
    <row r="337" spans="13:13">
      <c r="M337" t="s">
        <v>316</v>
      </c>
    </row>
    <row r="338" spans="13:13">
      <c r="M338" t="s">
        <v>316</v>
      </c>
    </row>
    <row r="339" spans="13:13">
      <c r="M339" t="s">
        <v>316</v>
      </c>
    </row>
    <row r="340" spans="13:13">
      <c r="M340" t="s">
        <v>316</v>
      </c>
    </row>
    <row r="341" spans="13:13">
      <c r="M341" t="s">
        <v>316</v>
      </c>
    </row>
    <row r="342" spans="13:13">
      <c r="M342" t="s">
        <v>316</v>
      </c>
    </row>
    <row r="343" spans="13:13">
      <c r="M343" t="s">
        <v>316</v>
      </c>
    </row>
    <row r="344" spans="13:13">
      <c r="M344" t="s">
        <v>316</v>
      </c>
    </row>
    <row r="345" spans="13:13">
      <c r="M345" t="s">
        <v>316</v>
      </c>
    </row>
    <row r="346" spans="13:13">
      <c r="M346" t="s">
        <v>316</v>
      </c>
    </row>
    <row r="347" spans="13:13">
      <c r="M347" t="s">
        <v>316</v>
      </c>
    </row>
    <row r="348" spans="13:13">
      <c r="M348" t="s">
        <v>316</v>
      </c>
    </row>
    <row r="349" spans="13:13">
      <c r="M349" t="s">
        <v>316</v>
      </c>
    </row>
    <row r="350" spans="13:13">
      <c r="M350" t="s">
        <v>316</v>
      </c>
    </row>
    <row r="351" spans="13:13">
      <c r="M351" t="s">
        <v>316</v>
      </c>
    </row>
    <row r="352" spans="13:13">
      <c r="M352" t="s">
        <v>316</v>
      </c>
    </row>
    <row r="353" spans="13:13">
      <c r="M353" t="s">
        <v>316</v>
      </c>
    </row>
    <row r="354" spans="13:13">
      <c r="M354" t="s">
        <v>316</v>
      </c>
    </row>
    <row r="355" spans="13:13">
      <c r="M355" t="s">
        <v>316</v>
      </c>
    </row>
    <row r="356" spans="13:13">
      <c r="M356" t="s">
        <v>316</v>
      </c>
    </row>
    <row r="357" spans="13:13">
      <c r="M357" t="s">
        <v>316</v>
      </c>
    </row>
    <row r="358" spans="13:13">
      <c r="M358" t="s">
        <v>316</v>
      </c>
    </row>
    <row r="359" spans="13:13">
      <c r="M359" t="s">
        <v>316</v>
      </c>
    </row>
    <row r="360" spans="13:13">
      <c r="M360" t="s">
        <v>316</v>
      </c>
    </row>
    <row r="361" spans="13:13">
      <c r="M361" t="s">
        <v>316</v>
      </c>
    </row>
    <row r="362" spans="13:13">
      <c r="M362" t="s">
        <v>316</v>
      </c>
    </row>
    <row r="363" spans="13:13">
      <c r="M363" t="s">
        <v>316</v>
      </c>
    </row>
    <row r="364" spans="13:13">
      <c r="M364" t="s">
        <v>316</v>
      </c>
    </row>
    <row r="365" spans="13:13">
      <c r="M365" t="s">
        <v>316</v>
      </c>
    </row>
    <row r="366" spans="13:13">
      <c r="M366" t="s">
        <v>316</v>
      </c>
    </row>
    <row r="367" spans="13:13">
      <c r="M367" t="s">
        <v>316</v>
      </c>
    </row>
    <row r="368" spans="13:13">
      <c r="M368" t="s">
        <v>316</v>
      </c>
    </row>
    <row r="369" spans="13:13">
      <c r="M369" t="s">
        <v>316</v>
      </c>
    </row>
    <row r="370" spans="13:13">
      <c r="M370" t="s">
        <v>316</v>
      </c>
    </row>
    <row r="371" spans="13:13">
      <c r="M371" t="s">
        <v>316</v>
      </c>
    </row>
    <row r="372" spans="13:13">
      <c r="M372" t="s">
        <v>316</v>
      </c>
    </row>
    <row r="373" spans="13:13">
      <c r="M373" t="s">
        <v>316</v>
      </c>
    </row>
    <row r="374" spans="13:13">
      <c r="M374" t="s">
        <v>316</v>
      </c>
    </row>
    <row r="375" spans="13:13">
      <c r="M375" t="s">
        <v>316</v>
      </c>
    </row>
    <row r="376" spans="13:13">
      <c r="M376" t="s">
        <v>316</v>
      </c>
    </row>
    <row r="377" spans="13:13">
      <c r="M377" t="s">
        <v>316</v>
      </c>
    </row>
    <row r="378" spans="13:13">
      <c r="M378" t="s">
        <v>316</v>
      </c>
    </row>
    <row r="379" spans="13:13">
      <c r="M379" t="s">
        <v>316</v>
      </c>
    </row>
    <row r="380" spans="13:13">
      <c r="M380" t="s">
        <v>316</v>
      </c>
    </row>
    <row r="381" spans="13:13">
      <c r="M381" t="s">
        <v>316</v>
      </c>
    </row>
    <row r="382" spans="13:13">
      <c r="M382" t="s">
        <v>316</v>
      </c>
    </row>
    <row r="383" spans="13:13">
      <c r="M383" t="s">
        <v>316</v>
      </c>
    </row>
    <row r="384" spans="13:13">
      <c r="M384" t="s">
        <v>316</v>
      </c>
    </row>
    <row r="385" spans="13:13">
      <c r="M385" t="s">
        <v>316</v>
      </c>
    </row>
    <row r="386" spans="13:13">
      <c r="M386" t="s">
        <v>316</v>
      </c>
    </row>
    <row r="387" spans="13:13">
      <c r="M387" t="s">
        <v>316</v>
      </c>
    </row>
    <row r="388" spans="13:13">
      <c r="M388" t="s">
        <v>316</v>
      </c>
    </row>
    <row r="389" spans="13:13">
      <c r="M389" t="s">
        <v>316</v>
      </c>
    </row>
    <row r="390" spans="13:13">
      <c r="M390" t="s">
        <v>316</v>
      </c>
    </row>
    <row r="391" spans="13:13">
      <c r="M391" t="s">
        <v>316</v>
      </c>
    </row>
    <row r="392" spans="13:13">
      <c r="M392" t="s">
        <v>316</v>
      </c>
    </row>
    <row r="393" spans="13:13">
      <c r="M393" t="s">
        <v>316</v>
      </c>
    </row>
    <row r="394" spans="13:13">
      <c r="M394" t="s">
        <v>316</v>
      </c>
    </row>
    <row r="395" spans="13:13">
      <c r="M395" t="s">
        <v>316</v>
      </c>
    </row>
    <row r="396" spans="13:13">
      <c r="M396" t="s">
        <v>316</v>
      </c>
    </row>
    <row r="397" spans="13:13">
      <c r="M397" t="s">
        <v>316</v>
      </c>
    </row>
    <row r="398" spans="13:13">
      <c r="M398" t="s">
        <v>316</v>
      </c>
    </row>
    <row r="399" spans="13:13">
      <c r="M399" t="s">
        <v>316</v>
      </c>
    </row>
    <row r="400" spans="13:13">
      <c r="M400" t="s">
        <v>316</v>
      </c>
    </row>
    <row r="401" spans="13:13">
      <c r="M401" t="s">
        <v>316</v>
      </c>
    </row>
    <row r="402" spans="13:13">
      <c r="M402" t="s">
        <v>316</v>
      </c>
    </row>
    <row r="403" spans="13:13">
      <c r="M403" t="s">
        <v>316</v>
      </c>
    </row>
    <row r="404" spans="13:13">
      <c r="M404" t="s">
        <v>316</v>
      </c>
    </row>
    <row r="405" spans="13:13">
      <c r="M405" t="s">
        <v>316</v>
      </c>
    </row>
    <row r="406" spans="13:13">
      <c r="M406" t="s">
        <v>316</v>
      </c>
    </row>
    <row r="407" spans="13:13">
      <c r="M407" t="s">
        <v>316</v>
      </c>
    </row>
    <row r="408" spans="13:13">
      <c r="M408" t="s">
        <v>316</v>
      </c>
    </row>
    <row r="409" spans="13:13">
      <c r="M409" t="s">
        <v>316</v>
      </c>
    </row>
    <row r="410" spans="13:13">
      <c r="M410" t="s">
        <v>316</v>
      </c>
    </row>
    <row r="411" spans="13:13">
      <c r="M411" t="s">
        <v>316</v>
      </c>
    </row>
    <row r="412" spans="13:13">
      <c r="M412" t="s">
        <v>316</v>
      </c>
    </row>
    <row r="413" spans="13:13">
      <c r="M413" t="s">
        <v>316</v>
      </c>
    </row>
    <row r="414" spans="13:13">
      <c r="M414" t="s">
        <v>316</v>
      </c>
    </row>
    <row r="415" spans="13:13">
      <c r="M415" t="s">
        <v>316</v>
      </c>
    </row>
    <row r="416" spans="13:13">
      <c r="M416" t="s">
        <v>316</v>
      </c>
    </row>
    <row r="417" spans="13:13">
      <c r="M417" t="s">
        <v>316</v>
      </c>
    </row>
    <row r="418" spans="13:13">
      <c r="M418" t="s">
        <v>316</v>
      </c>
    </row>
    <row r="419" spans="13:13">
      <c r="M419" t="s">
        <v>316</v>
      </c>
    </row>
    <row r="420" spans="13:13">
      <c r="M420" t="s">
        <v>316</v>
      </c>
    </row>
    <row r="421" spans="13:13">
      <c r="M421" t="s">
        <v>316</v>
      </c>
    </row>
    <row r="422" spans="13:13">
      <c r="M422" t="s">
        <v>316</v>
      </c>
    </row>
    <row r="423" spans="13:13">
      <c r="M423" t="s">
        <v>316</v>
      </c>
    </row>
    <row r="424" spans="13:13">
      <c r="M424" t="s">
        <v>316</v>
      </c>
    </row>
    <row r="425" spans="13:13">
      <c r="M425" t="s">
        <v>316</v>
      </c>
    </row>
    <row r="426" spans="13:13">
      <c r="M426" t="s">
        <v>316</v>
      </c>
    </row>
    <row r="427" spans="13:13">
      <c r="M427" t="s">
        <v>316</v>
      </c>
    </row>
    <row r="428" spans="13:13">
      <c r="M428" t="s">
        <v>316</v>
      </c>
    </row>
    <row r="429" spans="13:13">
      <c r="M429" t="s">
        <v>316</v>
      </c>
    </row>
    <row r="430" spans="13:13">
      <c r="M430" t="s">
        <v>316</v>
      </c>
    </row>
    <row r="431" spans="13:13">
      <c r="M431" t="s">
        <v>316</v>
      </c>
    </row>
    <row r="432" spans="13:13">
      <c r="M432" t="s">
        <v>316</v>
      </c>
    </row>
    <row r="433" spans="13:13">
      <c r="M433" t="s">
        <v>316</v>
      </c>
    </row>
    <row r="434" spans="13:13">
      <c r="M434" t="s">
        <v>316</v>
      </c>
    </row>
    <row r="435" spans="13:13">
      <c r="M435" t="s">
        <v>316</v>
      </c>
    </row>
    <row r="436" spans="13:13">
      <c r="M436" t="s">
        <v>316</v>
      </c>
    </row>
    <row r="437" spans="13:13">
      <c r="M437" t="s">
        <v>316</v>
      </c>
    </row>
    <row r="438" spans="13:13">
      <c r="M438" t="s">
        <v>316</v>
      </c>
    </row>
    <row r="439" spans="13:13">
      <c r="M439" t="s">
        <v>316</v>
      </c>
    </row>
    <row r="440" spans="13:13">
      <c r="M440" t="s">
        <v>316</v>
      </c>
    </row>
    <row r="441" spans="13:13">
      <c r="M441" t="s">
        <v>316</v>
      </c>
    </row>
    <row r="442" spans="13:13">
      <c r="M442" t="s">
        <v>316</v>
      </c>
    </row>
    <row r="443" spans="13:13">
      <c r="M443" t="s">
        <v>316</v>
      </c>
    </row>
    <row r="444" spans="13:13">
      <c r="M444" t="s">
        <v>316</v>
      </c>
    </row>
    <row r="445" spans="13:13">
      <c r="M445" t="s">
        <v>316</v>
      </c>
    </row>
    <row r="446" spans="13:13">
      <c r="M446" t="s">
        <v>316</v>
      </c>
    </row>
    <row r="447" spans="13:13">
      <c r="M447" t="s">
        <v>316</v>
      </c>
    </row>
    <row r="448" spans="13:13">
      <c r="M448" t="s">
        <v>316</v>
      </c>
    </row>
    <row r="449" spans="13:13">
      <c r="M449" t="s">
        <v>316</v>
      </c>
    </row>
    <row r="450" spans="13:13">
      <c r="M450" t="s">
        <v>316</v>
      </c>
    </row>
    <row r="451" spans="13:13">
      <c r="M451" t="s">
        <v>316</v>
      </c>
    </row>
    <row r="452" spans="13:13">
      <c r="M452" t="s">
        <v>316</v>
      </c>
    </row>
    <row r="453" spans="13:13">
      <c r="M453" t="s">
        <v>316</v>
      </c>
    </row>
    <row r="454" spans="13:13">
      <c r="M454" t="s">
        <v>316</v>
      </c>
    </row>
    <row r="455" spans="13:13">
      <c r="M455" t="s">
        <v>316</v>
      </c>
    </row>
    <row r="456" spans="13:13">
      <c r="M456" t="s">
        <v>316</v>
      </c>
    </row>
    <row r="457" spans="13:13">
      <c r="M457" t="s">
        <v>316</v>
      </c>
    </row>
    <row r="458" spans="13:13">
      <c r="M458" t="s">
        <v>316</v>
      </c>
    </row>
    <row r="459" spans="13:13">
      <c r="M459" t="s">
        <v>316</v>
      </c>
    </row>
    <row r="460" spans="13:13">
      <c r="M460" t="s">
        <v>316</v>
      </c>
    </row>
    <row r="461" spans="13:13">
      <c r="M461" t="s">
        <v>316</v>
      </c>
    </row>
    <row r="462" spans="13:13">
      <c r="M462" t="s">
        <v>316</v>
      </c>
    </row>
    <row r="463" spans="13:13">
      <c r="M463" t="s">
        <v>316</v>
      </c>
    </row>
    <row r="464" spans="13:13">
      <c r="M464" t="s">
        <v>316</v>
      </c>
    </row>
    <row r="465" spans="13:13">
      <c r="M465" t="s">
        <v>316</v>
      </c>
    </row>
    <row r="466" spans="13:13">
      <c r="M466" t="s">
        <v>316</v>
      </c>
    </row>
    <row r="467" spans="13:13">
      <c r="M467" t="s">
        <v>316</v>
      </c>
    </row>
    <row r="468" spans="13:13">
      <c r="M468" t="s">
        <v>316</v>
      </c>
    </row>
    <row r="469" spans="13:13">
      <c r="M469" t="s">
        <v>316</v>
      </c>
    </row>
    <row r="470" spans="13:13">
      <c r="M470" t="s">
        <v>316</v>
      </c>
    </row>
    <row r="471" spans="13:13">
      <c r="M471" t="s">
        <v>316</v>
      </c>
    </row>
    <row r="472" spans="13:13">
      <c r="M472" t="s">
        <v>316</v>
      </c>
    </row>
    <row r="473" spans="13:13">
      <c r="M473" t="s">
        <v>316</v>
      </c>
    </row>
    <row r="474" spans="13:13">
      <c r="M474" t="s">
        <v>316</v>
      </c>
    </row>
    <row r="475" spans="13:13">
      <c r="M475" t="s">
        <v>316</v>
      </c>
    </row>
    <row r="476" spans="13:13">
      <c r="M476" t="s">
        <v>316</v>
      </c>
    </row>
    <row r="477" spans="13:13">
      <c r="M477" t="s">
        <v>316</v>
      </c>
    </row>
    <row r="478" spans="13:13">
      <c r="M478" t="s">
        <v>316</v>
      </c>
    </row>
    <row r="479" spans="13:13">
      <c r="M479" t="s">
        <v>316</v>
      </c>
    </row>
    <row r="480" spans="13:13">
      <c r="M480" t="s">
        <v>316</v>
      </c>
    </row>
    <row r="481" spans="13:13">
      <c r="M481" t="s">
        <v>316</v>
      </c>
    </row>
    <row r="482" spans="13:13">
      <c r="M482" t="s">
        <v>316</v>
      </c>
    </row>
    <row r="483" spans="13:13">
      <c r="M483" t="s">
        <v>316</v>
      </c>
    </row>
    <row r="484" spans="13:13">
      <c r="M484" t="s">
        <v>316</v>
      </c>
    </row>
    <row r="485" spans="13:13">
      <c r="M485" t="s">
        <v>316</v>
      </c>
    </row>
    <row r="486" spans="13:13">
      <c r="M486" t="s">
        <v>316</v>
      </c>
    </row>
    <row r="487" spans="13:13">
      <c r="M487" t="s">
        <v>316</v>
      </c>
    </row>
    <row r="488" spans="13:13">
      <c r="M488" t="s">
        <v>316</v>
      </c>
    </row>
    <row r="489" spans="13:13">
      <c r="M489" t="s">
        <v>316</v>
      </c>
    </row>
    <row r="490" spans="13:13">
      <c r="M490" t="s">
        <v>316</v>
      </c>
    </row>
    <row r="491" spans="13:13">
      <c r="M491" t="s">
        <v>316</v>
      </c>
    </row>
    <row r="492" spans="13:13">
      <c r="M492" t="s">
        <v>316</v>
      </c>
    </row>
    <row r="493" spans="13:13">
      <c r="M493" t="s">
        <v>316</v>
      </c>
    </row>
    <row r="494" spans="13:13">
      <c r="M494" t="s">
        <v>316</v>
      </c>
    </row>
    <row r="495" spans="13:13">
      <c r="M495" t="s">
        <v>316</v>
      </c>
    </row>
    <row r="496" spans="13:13">
      <c r="M496" t="s">
        <v>316</v>
      </c>
    </row>
    <row r="497" spans="13:13">
      <c r="M497" t="s">
        <v>316</v>
      </c>
    </row>
    <row r="498" spans="13:13">
      <c r="M498" t="s">
        <v>316</v>
      </c>
    </row>
    <row r="499" spans="13:13">
      <c r="M499" t="s">
        <v>316</v>
      </c>
    </row>
    <row r="500" spans="13:13">
      <c r="M500" t="s">
        <v>316</v>
      </c>
    </row>
    <row r="501" spans="13:13">
      <c r="M501" t="s">
        <v>316</v>
      </c>
    </row>
    <row r="502" spans="13:13">
      <c r="M502" t="s">
        <v>316</v>
      </c>
    </row>
    <row r="503" spans="13:13">
      <c r="M503" t="s">
        <v>316</v>
      </c>
    </row>
    <row r="504" spans="13:13">
      <c r="M504" t="s">
        <v>316</v>
      </c>
    </row>
    <row r="505" spans="13:13">
      <c r="M505" t="s">
        <v>316</v>
      </c>
    </row>
    <row r="506" spans="13:13">
      <c r="M506" t="s">
        <v>316</v>
      </c>
    </row>
    <row r="507" spans="13:13">
      <c r="M507" t="s">
        <v>316</v>
      </c>
    </row>
    <row r="508" spans="13:13">
      <c r="M508" t="s">
        <v>316</v>
      </c>
    </row>
    <row r="509" spans="13:13">
      <c r="M509" t="s">
        <v>316</v>
      </c>
    </row>
    <row r="510" spans="13:13">
      <c r="M510" t="s">
        <v>316</v>
      </c>
    </row>
    <row r="511" spans="13:13">
      <c r="M511" t="s">
        <v>316</v>
      </c>
    </row>
    <row r="512" spans="13:13">
      <c r="M512" t="s">
        <v>316</v>
      </c>
    </row>
    <row r="513" spans="13:13">
      <c r="M513" t="s">
        <v>316</v>
      </c>
    </row>
    <row r="514" spans="13:13">
      <c r="M514" t="s">
        <v>316</v>
      </c>
    </row>
    <row r="515" spans="13:13">
      <c r="M515" t="s">
        <v>316</v>
      </c>
    </row>
    <row r="516" spans="13:13">
      <c r="M516" t="s">
        <v>316</v>
      </c>
    </row>
    <row r="517" spans="13:13">
      <c r="M517" t="s">
        <v>316</v>
      </c>
    </row>
    <row r="518" spans="13:13">
      <c r="M518" t="s">
        <v>316</v>
      </c>
    </row>
    <row r="519" spans="13:13">
      <c r="M519" t="s">
        <v>316</v>
      </c>
    </row>
    <row r="520" spans="13:13">
      <c r="M520" t="s">
        <v>316</v>
      </c>
    </row>
    <row r="521" spans="13:13">
      <c r="M521" t="s">
        <v>316</v>
      </c>
    </row>
    <row r="522" spans="13:13">
      <c r="M522" t="s">
        <v>316</v>
      </c>
    </row>
    <row r="523" spans="13:13">
      <c r="M523" t="s">
        <v>316</v>
      </c>
    </row>
    <row r="524" spans="13:13">
      <c r="M524" t="s">
        <v>316</v>
      </c>
    </row>
    <row r="525" spans="13:13">
      <c r="M525" t="s">
        <v>316</v>
      </c>
    </row>
    <row r="526" spans="13:13">
      <c r="M526" t="s">
        <v>316</v>
      </c>
    </row>
    <row r="527" spans="13:13">
      <c r="M527" t="s">
        <v>316</v>
      </c>
    </row>
    <row r="528" spans="13:13">
      <c r="M528" t="s">
        <v>316</v>
      </c>
    </row>
    <row r="529" spans="13:13">
      <c r="M529" t="s">
        <v>316</v>
      </c>
    </row>
    <row r="530" spans="13:13">
      <c r="M530" t="s">
        <v>316</v>
      </c>
    </row>
    <row r="531" spans="13:13">
      <c r="M531" t="s">
        <v>316</v>
      </c>
    </row>
    <row r="532" spans="13:13">
      <c r="M532" t="s">
        <v>316</v>
      </c>
    </row>
    <row r="533" spans="13:13">
      <c r="M533" t="s">
        <v>316</v>
      </c>
    </row>
    <row r="534" spans="13:13">
      <c r="M534" t="s">
        <v>316</v>
      </c>
    </row>
    <row r="535" spans="13:13">
      <c r="M535" t="s">
        <v>316</v>
      </c>
    </row>
    <row r="536" spans="13:13">
      <c r="M536" t="s">
        <v>316</v>
      </c>
    </row>
    <row r="537" spans="13:13">
      <c r="M537" t="s">
        <v>316</v>
      </c>
    </row>
    <row r="538" spans="13:13">
      <c r="M538" t="s">
        <v>316</v>
      </c>
    </row>
    <row r="539" spans="13:13">
      <c r="M539" t="s">
        <v>316</v>
      </c>
    </row>
    <row r="540" spans="13:13">
      <c r="M540" t="s">
        <v>316</v>
      </c>
    </row>
    <row r="541" spans="13:13">
      <c r="M541" t="s">
        <v>316</v>
      </c>
    </row>
    <row r="542" spans="13:13">
      <c r="M542" t="s">
        <v>316</v>
      </c>
    </row>
    <row r="543" spans="13:13">
      <c r="M543" t="s">
        <v>316</v>
      </c>
    </row>
    <row r="544" spans="13:13">
      <c r="M544" t="s">
        <v>316</v>
      </c>
    </row>
    <row r="545" spans="13:13">
      <c r="M545" t="s">
        <v>316</v>
      </c>
    </row>
    <row r="546" spans="13:13">
      <c r="M546" t="s">
        <v>316</v>
      </c>
    </row>
    <row r="547" spans="13:13">
      <c r="M547" t="s">
        <v>316</v>
      </c>
    </row>
    <row r="548" spans="13:13">
      <c r="M548" t="s">
        <v>316</v>
      </c>
    </row>
    <row r="549" spans="13:13">
      <c r="M549" t="s">
        <v>316</v>
      </c>
    </row>
    <row r="550" spans="13:13">
      <c r="M550" t="s">
        <v>316</v>
      </c>
    </row>
    <row r="551" spans="13:13">
      <c r="M551" t="s">
        <v>316</v>
      </c>
    </row>
    <row r="552" spans="13:13">
      <c r="M552" t="s">
        <v>316</v>
      </c>
    </row>
    <row r="553" spans="13:13">
      <c r="M553" t="s">
        <v>316</v>
      </c>
    </row>
    <row r="554" spans="13:13">
      <c r="M554" t="s">
        <v>316</v>
      </c>
    </row>
    <row r="555" spans="13:13">
      <c r="M555" t="s">
        <v>316</v>
      </c>
    </row>
    <row r="556" spans="13:13">
      <c r="M556" t="s">
        <v>316</v>
      </c>
    </row>
    <row r="557" spans="13:13">
      <c r="M557" t="s">
        <v>316</v>
      </c>
    </row>
    <row r="558" spans="13:13">
      <c r="M558" t="s">
        <v>316</v>
      </c>
    </row>
    <row r="559" spans="13:13">
      <c r="M559" t="s">
        <v>316</v>
      </c>
    </row>
    <row r="560" spans="13:13">
      <c r="M560" t="s">
        <v>316</v>
      </c>
    </row>
    <row r="561" spans="13:13">
      <c r="M561" t="s">
        <v>316</v>
      </c>
    </row>
    <row r="562" spans="13:13">
      <c r="M562" t="s">
        <v>316</v>
      </c>
    </row>
    <row r="563" spans="13:13">
      <c r="M563" t="s">
        <v>316</v>
      </c>
    </row>
    <row r="564" spans="13:13">
      <c r="M564" t="s">
        <v>316</v>
      </c>
    </row>
  </sheetData>
  <mergeCells count="3">
    <mergeCell ref="A2:A4"/>
    <mergeCell ref="A5:A7"/>
    <mergeCell ref="A8:A1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5"/>
  <sheetViews>
    <sheetView workbookViewId="0">
      <pane ySplit="1" topLeftCell="A151" activePane="bottomLeft" state="frozen"/>
      <selection/>
      <selection pane="bottomLeft" activeCell="B151" sqref="B151"/>
    </sheetView>
  </sheetViews>
  <sheetFormatPr defaultColWidth="8.66666666666667" defaultRowHeight="14"/>
  <cols>
    <col min="1" max="1" width="6.66666666666667" style="71" customWidth="1"/>
    <col min="2" max="2" width="19.0833333333333" style="54" customWidth="1"/>
    <col min="3" max="3" width="9.91666666666667" style="46" customWidth="1"/>
    <col min="4" max="4" width="10.4166666666667" style="46" customWidth="1"/>
    <col min="5" max="5" width="8" style="46" customWidth="1"/>
    <col min="6" max="7" width="9.41666666666667" style="46" customWidth="1"/>
    <col min="8" max="8" width="29.25" style="54" customWidth="1"/>
    <col min="9" max="9" width="15.3333333333333" style="54" customWidth="1"/>
    <col min="10" max="10" width="7.58333333333333" style="48" customWidth="1"/>
    <col min="11" max="11" width="13.6666666666667" style="72" customWidth="1"/>
    <col min="12" max="12" width="87.6666666666667" style="72" customWidth="1"/>
    <col min="13" max="16384" width="8.66666666666667" style="72"/>
  </cols>
  <sheetData>
    <row r="1" s="48" customFormat="1" ht="26" customHeight="1" spans="1:15">
      <c r="A1" s="73" t="s">
        <v>4</v>
      </c>
      <c r="B1" s="20" t="s">
        <v>5</v>
      </c>
      <c r="C1" s="20" t="s">
        <v>6</v>
      </c>
      <c r="D1" s="20" t="s">
        <v>7</v>
      </c>
      <c r="E1" s="20" t="s">
        <v>8</v>
      </c>
      <c r="F1" s="20" t="s">
        <v>9</v>
      </c>
      <c r="G1" s="20" t="s">
        <v>10</v>
      </c>
      <c r="H1" s="20" t="s">
        <v>11</v>
      </c>
      <c r="I1" s="20" t="s">
        <v>317</v>
      </c>
      <c r="J1" s="20" t="s">
        <v>11</v>
      </c>
      <c r="K1" s="48" t="s">
        <v>318</v>
      </c>
      <c r="L1" s="48" t="s">
        <v>319</v>
      </c>
    </row>
    <row r="2" ht="30.5" customHeight="1" spans="1:15">
      <c r="A2" s="22">
        <v>1</v>
      </c>
      <c r="B2" s="23" t="s">
        <v>320</v>
      </c>
      <c r="C2" s="22" t="s">
        <v>321</v>
      </c>
      <c r="D2" s="74" t="s">
        <v>14</v>
      </c>
      <c r="E2" s="22" t="s">
        <v>220</v>
      </c>
      <c r="F2" s="22" t="s">
        <v>16</v>
      </c>
      <c r="G2" s="46">
        <v>0</v>
      </c>
      <c r="H2" s="22" t="s">
        <v>322</v>
      </c>
      <c r="I2" s="23" t="s">
        <v>323</v>
      </c>
      <c r="J2" s="23"/>
    </row>
    <row r="3" ht="30.5" customHeight="1" spans="1:15">
      <c r="A3" s="22">
        <v>2</v>
      </c>
      <c r="B3" s="23" t="s">
        <v>324</v>
      </c>
      <c r="C3" s="22" t="s">
        <v>321</v>
      </c>
      <c r="D3" s="22" t="s">
        <v>19</v>
      </c>
      <c r="E3" s="22" t="s">
        <v>220</v>
      </c>
      <c r="F3" s="22" t="s">
        <v>16</v>
      </c>
      <c r="G3" s="46">
        <v>0</v>
      </c>
      <c r="H3" s="22" t="s">
        <v>325</v>
      </c>
      <c r="I3" s="23" t="s">
        <v>326</v>
      </c>
      <c r="J3" s="23"/>
    </row>
    <row r="4" ht="30.5" customHeight="1" spans="1:15">
      <c r="A4" s="22">
        <v>3</v>
      </c>
      <c r="B4" s="23" t="s">
        <v>327</v>
      </c>
      <c r="C4" s="22" t="s">
        <v>321</v>
      </c>
      <c r="D4" s="22" t="s">
        <v>22</v>
      </c>
      <c r="E4" s="22" t="s">
        <v>220</v>
      </c>
      <c r="F4" s="22" t="s">
        <v>16</v>
      </c>
      <c r="G4" s="46">
        <v>0</v>
      </c>
      <c r="H4" s="22" t="s">
        <v>328</v>
      </c>
      <c r="I4" s="23" t="s">
        <v>329</v>
      </c>
      <c r="J4" s="23"/>
    </row>
    <row r="5" ht="30.5" customHeight="1" spans="1:15">
      <c r="A5" s="22">
        <v>4</v>
      </c>
      <c r="B5" s="23" t="s">
        <v>330</v>
      </c>
      <c r="C5" s="22" t="s">
        <v>321</v>
      </c>
      <c r="D5" s="22" t="s">
        <v>25</v>
      </c>
      <c r="E5" s="22" t="s">
        <v>220</v>
      </c>
      <c r="F5" s="22" t="s">
        <v>16</v>
      </c>
      <c r="G5" s="46">
        <v>0</v>
      </c>
      <c r="H5" s="22" t="s">
        <v>331</v>
      </c>
      <c r="I5" s="23" t="s">
        <v>332</v>
      </c>
      <c r="J5" s="23" t="s">
        <v>333</v>
      </c>
    </row>
    <row r="6" ht="30.5" customHeight="1" spans="1:15">
      <c r="A6" s="22">
        <v>5</v>
      </c>
      <c r="B6" s="23" t="s">
        <v>334</v>
      </c>
      <c r="C6" s="22" t="s">
        <v>321</v>
      </c>
      <c r="D6" s="22" t="s">
        <v>28</v>
      </c>
      <c r="E6" s="22" t="s">
        <v>220</v>
      </c>
      <c r="F6" s="22" t="s">
        <v>16</v>
      </c>
      <c r="G6" s="46">
        <v>0</v>
      </c>
      <c r="H6" s="22" t="s">
        <v>335</v>
      </c>
      <c r="I6" s="23" t="s">
        <v>336</v>
      </c>
      <c r="J6" s="23"/>
    </row>
    <row r="7" ht="30.5" customHeight="1" spans="1:15">
      <c r="A7" s="22">
        <v>6</v>
      </c>
      <c r="B7" s="23" t="s">
        <v>337</v>
      </c>
      <c r="C7" s="22" t="s">
        <v>321</v>
      </c>
      <c r="D7" s="22" t="s">
        <v>31</v>
      </c>
      <c r="E7" s="22" t="s">
        <v>220</v>
      </c>
      <c r="F7" s="22" t="s">
        <v>16</v>
      </c>
      <c r="G7" s="46">
        <v>0</v>
      </c>
      <c r="H7" s="22" t="s">
        <v>338</v>
      </c>
      <c r="I7" s="23" t="s">
        <v>339</v>
      </c>
      <c r="J7" s="23"/>
    </row>
    <row r="8" ht="30.5" customHeight="1" spans="1:15">
      <c r="A8" s="22">
        <v>7</v>
      </c>
      <c r="B8" s="23" t="s">
        <v>340</v>
      </c>
      <c r="C8" s="22" t="s">
        <v>321</v>
      </c>
      <c r="D8" s="22" t="s">
        <v>34</v>
      </c>
      <c r="E8" s="22" t="s">
        <v>220</v>
      </c>
      <c r="F8" s="22" t="s">
        <v>16</v>
      </c>
      <c r="G8" s="46">
        <v>0</v>
      </c>
      <c r="H8" s="22" t="s">
        <v>341</v>
      </c>
      <c r="I8" s="23" t="s">
        <v>341</v>
      </c>
      <c r="J8" s="23" t="s">
        <v>342</v>
      </c>
    </row>
    <row r="9" ht="30.5" customHeight="1" spans="1:15">
      <c r="A9" s="22">
        <v>8</v>
      </c>
      <c r="B9" s="23" t="s">
        <v>343</v>
      </c>
      <c r="C9" s="22" t="s">
        <v>321</v>
      </c>
      <c r="D9" s="74" t="s">
        <v>37</v>
      </c>
      <c r="E9" s="22" t="s">
        <v>220</v>
      </c>
      <c r="F9" s="22" t="s">
        <v>16</v>
      </c>
      <c r="G9" s="46">
        <v>0</v>
      </c>
      <c r="H9" s="22" t="s">
        <v>344</v>
      </c>
      <c r="I9" s="23" t="s">
        <v>345</v>
      </c>
      <c r="J9" s="75" t="s">
        <v>346</v>
      </c>
    </row>
    <row r="10" ht="30.5" customHeight="1" spans="1:15">
      <c r="A10" s="22">
        <v>9</v>
      </c>
      <c r="B10" s="23" t="s">
        <v>347</v>
      </c>
      <c r="C10" s="22" t="s">
        <v>321</v>
      </c>
      <c r="D10" s="22" t="s">
        <v>39</v>
      </c>
      <c r="E10" s="22" t="s">
        <v>220</v>
      </c>
      <c r="F10" s="22" t="s">
        <v>16</v>
      </c>
      <c r="G10" s="46">
        <v>0</v>
      </c>
      <c r="H10" s="22" t="s">
        <v>348</v>
      </c>
      <c r="I10" s="23" t="s">
        <v>349</v>
      </c>
      <c r="J10" s="23"/>
    </row>
    <row r="11" ht="30.5" customHeight="1" spans="1:15">
      <c r="A11" s="22">
        <v>10</v>
      </c>
      <c r="B11" s="23" t="s">
        <v>350</v>
      </c>
      <c r="C11" s="22" t="s">
        <v>321</v>
      </c>
      <c r="D11" s="22" t="s">
        <v>40</v>
      </c>
      <c r="E11" s="22" t="s">
        <v>220</v>
      </c>
      <c r="F11" s="22" t="s">
        <v>16</v>
      </c>
      <c r="G11" s="46">
        <v>0</v>
      </c>
      <c r="H11" s="22" t="s">
        <v>351</v>
      </c>
      <c r="I11" s="23" t="s">
        <v>352</v>
      </c>
      <c r="J11" s="23"/>
    </row>
    <row r="12" ht="30.5" customHeight="1" spans="1:15">
      <c r="A12" s="22">
        <v>11</v>
      </c>
      <c r="B12" s="23" t="s">
        <v>353</v>
      </c>
      <c r="C12" s="22" t="s">
        <v>321</v>
      </c>
      <c r="D12" s="22" t="s">
        <v>41</v>
      </c>
      <c r="E12" s="22" t="s">
        <v>220</v>
      </c>
      <c r="F12" s="22" t="s">
        <v>16</v>
      </c>
      <c r="G12" s="46">
        <v>0</v>
      </c>
      <c r="H12" s="22" t="s">
        <v>354</v>
      </c>
      <c r="I12" s="23" t="s">
        <v>355</v>
      </c>
      <c r="J12" s="23"/>
    </row>
    <row r="13" ht="30.5" customHeight="1" spans="1:15">
      <c r="A13" s="22">
        <v>12</v>
      </c>
      <c r="B13" s="23" t="s">
        <v>356</v>
      </c>
      <c r="C13" s="22" t="s">
        <v>321</v>
      </c>
      <c r="D13" s="22" t="s">
        <v>42</v>
      </c>
      <c r="E13" s="22" t="s">
        <v>220</v>
      </c>
      <c r="F13" s="22" t="s">
        <v>16</v>
      </c>
      <c r="G13" s="46">
        <v>0</v>
      </c>
      <c r="H13" s="22" t="s">
        <v>357</v>
      </c>
      <c r="I13" s="23" t="s">
        <v>358</v>
      </c>
      <c r="J13" s="23"/>
    </row>
    <row r="14" ht="30.5" customHeight="1" spans="1:15">
      <c r="A14" s="22">
        <v>13</v>
      </c>
      <c r="B14" s="23" t="s">
        <v>359</v>
      </c>
      <c r="C14" s="22" t="s">
        <v>321</v>
      </c>
      <c r="D14" s="22" t="s">
        <v>43</v>
      </c>
      <c r="E14" s="22" t="s">
        <v>220</v>
      </c>
      <c r="F14" s="22" t="s">
        <v>16</v>
      </c>
      <c r="G14" s="46">
        <v>0</v>
      </c>
      <c r="H14" s="22" t="s">
        <v>357</v>
      </c>
      <c r="I14" s="23" t="s">
        <v>358</v>
      </c>
      <c r="J14" s="23"/>
    </row>
    <row r="15" ht="30.5" customHeight="1" spans="1:15">
      <c r="A15" s="22">
        <v>14</v>
      </c>
      <c r="B15" s="23" t="s">
        <v>360</v>
      </c>
      <c r="C15" s="22" t="s">
        <v>321</v>
      </c>
      <c r="D15" s="22" t="s">
        <v>44</v>
      </c>
      <c r="E15" s="22" t="s">
        <v>220</v>
      </c>
      <c r="F15" s="22" t="s">
        <v>16</v>
      </c>
      <c r="G15" s="46">
        <v>0</v>
      </c>
      <c r="H15" s="22" t="s">
        <v>357</v>
      </c>
      <c r="I15" s="23" t="s">
        <v>358</v>
      </c>
      <c r="J15" s="23"/>
    </row>
    <row r="16" s="70" customFormat="1" ht="30.5" customHeight="1" spans="1:15">
      <c r="A16" s="22">
        <v>15</v>
      </c>
      <c r="B16" s="23" t="s">
        <v>361</v>
      </c>
      <c r="C16" s="22" t="s">
        <v>321</v>
      </c>
      <c r="D16" s="22" t="s">
        <v>45</v>
      </c>
      <c r="E16" s="22" t="s">
        <v>220</v>
      </c>
      <c r="F16" s="22" t="s">
        <v>16</v>
      </c>
      <c r="G16" s="46">
        <v>0</v>
      </c>
      <c r="H16" s="22" t="s">
        <v>362</v>
      </c>
      <c r="I16" s="76" t="s">
        <v>363</v>
      </c>
      <c r="J16" s="23"/>
      <c r="O16" s="72"/>
    </row>
    <row r="17" s="70" customFormat="1" ht="30.5" customHeight="1" spans="1:15">
      <c r="A17" s="22">
        <v>16</v>
      </c>
      <c r="B17" s="23" t="s">
        <v>364</v>
      </c>
      <c r="C17" s="22" t="s">
        <v>321</v>
      </c>
      <c r="D17" s="22" t="s">
        <v>46</v>
      </c>
      <c r="E17" s="22" t="s">
        <v>220</v>
      </c>
      <c r="F17" s="22" t="s">
        <v>16</v>
      </c>
      <c r="G17" s="46">
        <v>0</v>
      </c>
      <c r="H17" s="22" t="s">
        <v>357</v>
      </c>
      <c r="I17" s="23" t="s">
        <v>358</v>
      </c>
      <c r="J17" s="23"/>
      <c r="O17" s="72"/>
    </row>
    <row r="18" s="70" customFormat="1" ht="30.5" customHeight="1" spans="1:15">
      <c r="A18" s="22">
        <v>17</v>
      </c>
      <c r="B18" s="23" t="s">
        <v>365</v>
      </c>
      <c r="C18" s="22" t="s">
        <v>366</v>
      </c>
      <c r="D18" s="22" t="s">
        <v>14</v>
      </c>
      <c r="E18" s="22" t="s">
        <v>220</v>
      </c>
      <c r="F18" s="22" t="s">
        <v>16</v>
      </c>
      <c r="G18" s="46">
        <v>0</v>
      </c>
      <c r="H18" s="22" t="s">
        <v>357</v>
      </c>
      <c r="I18" s="23" t="s">
        <v>358</v>
      </c>
      <c r="J18" s="23"/>
      <c r="O18" s="72"/>
    </row>
    <row r="19" s="70" customFormat="1" ht="30.5" customHeight="1" spans="1:15">
      <c r="A19" s="22">
        <v>18</v>
      </c>
      <c r="B19" s="23" t="s">
        <v>367</v>
      </c>
      <c r="C19" s="22" t="s">
        <v>366</v>
      </c>
      <c r="D19" s="22" t="s">
        <v>19</v>
      </c>
      <c r="E19" s="22" t="s">
        <v>220</v>
      </c>
      <c r="F19" s="22" t="s">
        <v>16</v>
      </c>
      <c r="G19" s="46">
        <v>0</v>
      </c>
      <c r="H19" s="22" t="s">
        <v>357</v>
      </c>
      <c r="I19" s="23" t="s">
        <v>358</v>
      </c>
      <c r="J19" s="23"/>
      <c r="O19" s="72"/>
    </row>
    <row r="20" s="70" customFormat="1" ht="30.5" customHeight="1" spans="1:15">
      <c r="A20" s="22">
        <v>19</v>
      </c>
      <c r="B20" s="23" t="s">
        <v>368</v>
      </c>
      <c r="C20" s="22" t="s">
        <v>366</v>
      </c>
      <c r="D20" s="22" t="s">
        <v>22</v>
      </c>
      <c r="E20" s="22" t="s">
        <v>220</v>
      </c>
      <c r="F20" s="22" t="s">
        <v>16</v>
      </c>
      <c r="G20" s="46">
        <v>0</v>
      </c>
      <c r="H20" s="22" t="s">
        <v>357</v>
      </c>
      <c r="I20" s="23" t="s">
        <v>358</v>
      </c>
      <c r="J20" s="23"/>
      <c r="O20" s="72"/>
    </row>
    <row r="21" s="70" customFormat="1" ht="30.5" customHeight="1" spans="1:15">
      <c r="A21" s="77">
        <v>20</v>
      </c>
      <c r="B21" s="40" t="s">
        <v>369</v>
      </c>
      <c r="C21" s="22" t="s">
        <v>366</v>
      </c>
      <c r="D21" s="22" t="s">
        <v>25</v>
      </c>
      <c r="E21" s="22" t="s">
        <v>220</v>
      </c>
      <c r="F21" s="22" t="s">
        <v>16</v>
      </c>
      <c r="G21" s="46">
        <v>0</v>
      </c>
      <c r="H21" s="22" t="s">
        <v>370</v>
      </c>
      <c r="I21" s="78"/>
      <c r="J21" s="23"/>
      <c r="O21" s="72"/>
    </row>
    <row r="22" s="70" customFormat="1" ht="30.5" customHeight="1" spans="1:15">
      <c r="A22" s="22">
        <v>21</v>
      </c>
      <c r="B22" s="23" t="s">
        <v>371</v>
      </c>
      <c r="C22" s="22" t="s">
        <v>366</v>
      </c>
      <c r="D22" s="22" t="s">
        <v>28</v>
      </c>
      <c r="E22" s="22" t="s">
        <v>220</v>
      </c>
      <c r="F22" s="22" t="s">
        <v>16</v>
      </c>
      <c r="G22" s="46">
        <v>0</v>
      </c>
      <c r="H22" s="22" t="s">
        <v>357</v>
      </c>
      <c r="I22" s="23" t="s">
        <v>357</v>
      </c>
      <c r="J22" s="23"/>
      <c r="O22" s="72"/>
    </row>
    <row r="23" ht="30.5" customHeight="1" spans="1:15">
      <c r="A23" s="22">
        <v>22</v>
      </c>
      <c r="B23" s="23" t="s">
        <v>372</v>
      </c>
      <c r="C23" s="22" t="s">
        <v>366</v>
      </c>
      <c r="D23" s="22" t="s">
        <v>31</v>
      </c>
      <c r="E23" s="22" t="s">
        <v>220</v>
      </c>
      <c r="F23" s="22" t="s">
        <v>16</v>
      </c>
      <c r="G23" s="46">
        <v>0</v>
      </c>
      <c r="H23" s="22" t="s">
        <v>322</v>
      </c>
      <c r="I23" s="23" t="s">
        <v>322</v>
      </c>
      <c r="J23" s="23"/>
    </row>
    <row r="24" ht="25" customHeight="1" spans="1:15">
      <c r="A24" s="22">
        <v>23</v>
      </c>
      <c r="B24" s="23" t="s">
        <v>373</v>
      </c>
      <c r="C24" s="22" t="s">
        <v>366</v>
      </c>
      <c r="D24" s="22" t="s">
        <v>34</v>
      </c>
      <c r="E24" s="22" t="s">
        <v>220</v>
      </c>
      <c r="F24" s="22" t="s">
        <v>16</v>
      </c>
      <c r="G24" s="46">
        <v>0</v>
      </c>
      <c r="H24" s="22" t="s">
        <v>374</v>
      </c>
      <c r="I24" s="32" t="s">
        <v>375</v>
      </c>
      <c r="J24" s="23"/>
    </row>
    <row r="25" ht="25" customHeight="1" spans="1:15">
      <c r="A25" s="22">
        <v>24</v>
      </c>
      <c r="B25" s="23" t="s">
        <v>376</v>
      </c>
      <c r="C25" s="22" t="s">
        <v>366</v>
      </c>
      <c r="D25" s="22" t="s">
        <v>37</v>
      </c>
      <c r="E25" s="22" t="s">
        <v>220</v>
      </c>
      <c r="F25" s="22" t="s">
        <v>16</v>
      </c>
      <c r="G25" s="46">
        <v>0</v>
      </c>
      <c r="H25" s="22" t="s">
        <v>374</v>
      </c>
      <c r="I25" s="32" t="s">
        <v>375</v>
      </c>
      <c r="J25" s="23"/>
    </row>
    <row r="26" ht="25.5" customHeight="1" spans="1:15">
      <c r="A26" s="22">
        <v>25</v>
      </c>
      <c r="B26" s="23" t="s">
        <v>377</v>
      </c>
      <c r="C26" s="22" t="s">
        <v>366</v>
      </c>
      <c r="D26" s="22" t="s">
        <v>39</v>
      </c>
      <c r="E26" s="22" t="s">
        <v>220</v>
      </c>
      <c r="F26" s="22" t="s">
        <v>16</v>
      </c>
      <c r="G26" s="46">
        <v>0</v>
      </c>
      <c r="H26" s="22" t="s">
        <v>322</v>
      </c>
      <c r="I26" s="32" t="s">
        <v>378</v>
      </c>
      <c r="J26" s="23"/>
    </row>
    <row r="27" ht="25" customHeight="1" spans="1:15">
      <c r="A27" s="22">
        <v>26</v>
      </c>
      <c r="B27" s="23" t="s">
        <v>379</v>
      </c>
      <c r="C27" s="22" t="s">
        <v>366</v>
      </c>
      <c r="D27" s="22" t="s">
        <v>40</v>
      </c>
      <c r="E27" s="22" t="s">
        <v>220</v>
      </c>
      <c r="F27" s="22" t="s">
        <v>16</v>
      </c>
      <c r="G27" s="46">
        <v>0</v>
      </c>
      <c r="H27" s="22" t="s">
        <v>322</v>
      </c>
      <c r="I27" s="32" t="s">
        <v>380</v>
      </c>
      <c r="J27" s="23"/>
    </row>
    <row r="28" s="48" customFormat="1" ht="25" customHeight="1" spans="1:15">
      <c r="A28" s="22">
        <v>27</v>
      </c>
      <c r="B28" s="23" t="s">
        <v>381</v>
      </c>
      <c r="C28" s="22" t="s">
        <v>366</v>
      </c>
      <c r="D28" s="22" t="s">
        <v>41</v>
      </c>
      <c r="E28" s="22" t="s">
        <v>220</v>
      </c>
      <c r="F28" s="22" t="s">
        <v>16</v>
      </c>
      <c r="G28" s="46">
        <v>0</v>
      </c>
      <c r="H28" s="22" t="s">
        <v>382</v>
      </c>
      <c r="I28" s="32" t="s">
        <v>383</v>
      </c>
      <c r="J28" s="23" t="s">
        <v>384</v>
      </c>
    </row>
    <row r="29" s="48" customFormat="1" ht="25" customHeight="1" spans="1:15">
      <c r="A29" s="22">
        <v>28</v>
      </c>
      <c r="B29" s="23" t="s">
        <v>385</v>
      </c>
      <c r="C29" s="22" t="s">
        <v>366</v>
      </c>
      <c r="D29" s="22" t="s">
        <v>42</v>
      </c>
      <c r="E29" s="22" t="s">
        <v>220</v>
      </c>
      <c r="F29" s="22" t="s">
        <v>16</v>
      </c>
      <c r="G29" s="46">
        <v>0</v>
      </c>
      <c r="H29" s="22" t="s">
        <v>382</v>
      </c>
      <c r="I29" s="32" t="s">
        <v>383</v>
      </c>
      <c r="J29" s="23" t="s">
        <v>384</v>
      </c>
    </row>
    <row r="30" s="48" customFormat="1" ht="25" customHeight="1" spans="1:15">
      <c r="A30" s="22">
        <v>29</v>
      </c>
      <c r="B30" s="23" t="s">
        <v>386</v>
      </c>
      <c r="C30" s="22" t="s">
        <v>366</v>
      </c>
      <c r="D30" s="22" t="s">
        <v>43</v>
      </c>
      <c r="E30" s="22" t="s">
        <v>220</v>
      </c>
      <c r="F30" s="22" t="s">
        <v>16</v>
      </c>
      <c r="G30" s="46">
        <v>0</v>
      </c>
      <c r="H30" s="22" t="s">
        <v>382</v>
      </c>
      <c r="I30" s="32" t="s">
        <v>383</v>
      </c>
      <c r="J30" s="23" t="s">
        <v>384</v>
      </c>
    </row>
    <row r="31" s="48" customFormat="1" ht="25" customHeight="1" spans="1:15">
      <c r="A31" s="22">
        <v>30</v>
      </c>
      <c r="B31" s="23" t="s">
        <v>387</v>
      </c>
      <c r="C31" s="22" t="s">
        <v>366</v>
      </c>
      <c r="D31" s="22" t="s">
        <v>44</v>
      </c>
      <c r="E31" s="22" t="s">
        <v>220</v>
      </c>
      <c r="F31" s="22" t="s">
        <v>16</v>
      </c>
      <c r="G31" s="46">
        <v>0</v>
      </c>
      <c r="H31" s="22" t="s">
        <v>382</v>
      </c>
      <c r="I31" s="32" t="s">
        <v>383</v>
      </c>
      <c r="J31" s="23" t="s">
        <v>384</v>
      </c>
    </row>
    <row r="32" ht="25" customHeight="1" spans="1:15">
      <c r="A32" s="22">
        <v>31</v>
      </c>
      <c r="B32" s="23" t="s">
        <v>388</v>
      </c>
      <c r="C32" s="22" t="s">
        <v>366</v>
      </c>
      <c r="D32" s="22" t="s">
        <v>45</v>
      </c>
      <c r="E32" s="22" t="s">
        <v>220</v>
      </c>
      <c r="F32" s="22" t="s">
        <v>16</v>
      </c>
      <c r="G32" s="46">
        <v>0</v>
      </c>
      <c r="H32" s="22" t="s">
        <v>389</v>
      </c>
      <c r="I32" s="23"/>
      <c r="J32" s="23"/>
    </row>
    <row r="33" ht="25" customHeight="1" spans="1:10">
      <c r="A33" s="77">
        <v>32</v>
      </c>
      <c r="B33" s="40" t="s">
        <v>390</v>
      </c>
      <c r="C33" s="77" t="s">
        <v>366</v>
      </c>
      <c r="D33" s="22" t="s">
        <v>46</v>
      </c>
      <c r="E33" s="22" t="s">
        <v>220</v>
      </c>
      <c r="F33" s="22" t="s">
        <v>16</v>
      </c>
      <c r="G33" s="46">
        <v>0</v>
      </c>
      <c r="H33" s="22" t="s">
        <v>391</v>
      </c>
      <c r="I33" s="23"/>
      <c r="J33" s="23"/>
    </row>
    <row r="34" ht="25" customHeight="1" spans="1:10">
      <c r="A34" s="79">
        <v>33</v>
      </c>
      <c r="B34" s="23" t="s">
        <v>38</v>
      </c>
      <c r="C34" s="22" t="s">
        <v>392</v>
      </c>
      <c r="D34" s="22"/>
      <c r="E34" s="22" t="s">
        <v>220</v>
      </c>
      <c r="F34" s="22" t="s">
        <v>52</v>
      </c>
      <c r="G34" s="46">
        <v>0</v>
      </c>
      <c r="H34" s="22"/>
      <c r="I34" s="80"/>
      <c r="J34" s="80"/>
    </row>
    <row r="35" ht="25" customHeight="1" spans="1:10">
      <c r="A35" s="22">
        <v>34</v>
      </c>
      <c r="B35" s="23" t="s">
        <v>393</v>
      </c>
      <c r="C35" s="22" t="s">
        <v>394</v>
      </c>
      <c r="D35" s="22" t="s">
        <v>14</v>
      </c>
      <c r="E35" s="22" t="s">
        <v>220</v>
      </c>
      <c r="F35" s="22" t="s">
        <v>16</v>
      </c>
      <c r="G35" s="46">
        <v>0</v>
      </c>
      <c r="H35" s="22" t="s">
        <v>395</v>
      </c>
      <c r="I35" s="48"/>
    </row>
    <row r="36" ht="25" customHeight="1" spans="1:10">
      <c r="A36" s="22">
        <v>35</v>
      </c>
      <c r="B36" s="23" t="s">
        <v>396</v>
      </c>
      <c r="C36" s="22" t="s">
        <v>394</v>
      </c>
      <c r="D36" s="22" t="s">
        <v>19</v>
      </c>
      <c r="E36" s="22" t="s">
        <v>220</v>
      </c>
      <c r="F36" s="22" t="s">
        <v>16</v>
      </c>
      <c r="G36" s="46">
        <v>0</v>
      </c>
      <c r="H36" s="22" t="s">
        <v>397</v>
      </c>
      <c r="I36" s="48"/>
    </row>
    <row r="37" ht="25" customHeight="1" spans="1:10">
      <c r="A37" s="22">
        <v>36</v>
      </c>
      <c r="B37" s="23" t="s">
        <v>398</v>
      </c>
      <c r="C37" s="22" t="s">
        <v>394</v>
      </c>
      <c r="D37" s="22" t="s">
        <v>22</v>
      </c>
      <c r="E37" s="22" t="s">
        <v>220</v>
      </c>
      <c r="F37" s="22" t="s">
        <v>16</v>
      </c>
      <c r="G37" s="46">
        <v>0</v>
      </c>
      <c r="H37" s="22" t="s">
        <v>397</v>
      </c>
      <c r="I37" s="48"/>
    </row>
    <row r="38" ht="25" customHeight="1" spans="1:10">
      <c r="A38" s="22">
        <v>37</v>
      </c>
      <c r="B38" s="25" t="s">
        <v>399</v>
      </c>
      <c r="C38" s="22" t="s">
        <v>394</v>
      </c>
      <c r="D38" s="22" t="s">
        <v>25</v>
      </c>
      <c r="E38" s="22" t="s">
        <v>220</v>
      </c>
      <c r="F38" s="22" t="s">
        <v>16</v>
      </c>
      <c r="G38" s="46">
        <v>0</v>
      </c>
      <c r="H38" s="22" t="s">
        <v>400</v>
      </c>
      <c r="I38" s="48"/>
    </row>
    <row r="39" ht="25" customHeight="1" spans="1:10">
      <c r="A39" s="22">
        <v>38</v>
      </c>
      <c r="B39" s="23" t="s">
        <v>38</v>
      </c>
      <c r="C39" s="22" t="s">
        <v>394</v>
      </c>
      <c r="D39" s="22" t="s">
        <v>28</v>
      </c>
      <c r="E39" s="22" t="s">
        <v>220</v>
      </c>
      <c r="F39" s="22" t="s">
        <v>16</v>
      </c>
      <c r="G39" s="46">
        <v>0</v>
      </c>
      <c r="H39" s="22" t="s">
        <v>401</v>
      </c>
      <c r="I39" s="48"/>
    </row>
    <row r="40" ht="25" customHeight="1" spans="1:10">
      <c r="A40" s="22">
        <v>39</v>
      </c>
      <c r="B40" s="23" t="s">
        <v>38</v>
      </c>
      <c r="C40" s="22" t="s">
        <v>394</v>
      </c>
      <c r="D40" s="22" t="s">
        <v>31</v>
      </c>
      <c r="E40" s="22" t="s">
        <v>220</v>
      </c>
      <c r="F40" s="22" t="s">
        <v>16</v>
      </c>
      <c r="G40" s="46">
        <v>0</v>
      </c>
      <c r="H40" s="22" t="s">
        <v>401</v>
      </c>
      <c r="I40" s="48"/>
    </row>
    <row r="41" ht="25" customHeight="1" spans="1:10">
      <c r="A41" s="22">
        <v>40</v>
      </c>
      <c r="B41" s="23" t="s">
        <v>38</v>
      </c>
      <c r="C41" s="22" t="s">
        <v>394</v>
      </c>
      <c r="D41" s="22" t="s">
        <v>34</v>
      </c>
      <c r="E41" s="22" t="s">
        <v>220</v>
      </c>
      <c r="F41" s="22" t="s">
        <v>16</v>
      </c>
      <c r="G41" s="46">
        <v>0</v>
      </c>
      <c r="H41" s="22" t="s">
        <v>401</v>
      </c>
      <c r="I41" s="48"/>
    </row>
    <row r="42" ht="25" customHeight="1" spans="1:10">
      <c r="A42" s="22">
        <v>41</v>
      </c>
      <c r="B42" s="23" t="s">
        <v>38</v>
      </c>
      <c r="C42" s="22" t="s">
        <v>394</v>
      </c>
      <c r="D42" s="22" t="s">
        <v>37</v>
      </c>
      <c r="E42" s="22" t="s">
        <v>220</v>
      </c>
      <c r="F42" s="22" t="s">
        <v>16</v>
      </c>
      <c r="G42" s="46">
        <v>0</v>
      </c>
      <c r="H42" s="22" t="s">
        <v>401</v>
      </c>
      <c r="I42" s="48"/>
    </row>
    <row r="43" ht="25" customHeight="1" spans="1:10">
      <c r="A43" s="22">
        <v>42</v>
      </c>
      <c r="B43" s="23" t="s">
        <v>38</v>
      </c>
      <c r="C43" s="22" t="s">
        <v>394</v>
      </c>
      <c r="D43" s="22" t="s">
        <v>39</v>
      </c>
      <c r="E43" s="22" t="s">
        <v>220</v>
      </c>
      <c r="F43" s="22" t="s">
        <v>16</v>
      </c>
      <c r="G43" s="46">
        <v>0</v>
      </c>
      <c r="H43" s="22" t="s">
        <v>401</v>
      </c>
      <c r="I43" s="48"/>
    </row>
    <row r="44" ht="25" customHeight="1" spans="1:10">
      <c r="A44" s="22">
        <v>43</v>
      </c>
      <c r="B44" s="23" t="s">
        <v>38</v>
      </c>
      <c r="C44" s="22" t="s">
        <v>394</v>
      </c>
      <c r="D44" s="22" t="s">
        <v>40</v>
      </c>
      <c r="E44" s="22" t="s">
        <v>220</v>
      </c>
      <c r="F44" s="22" t="s">
        <v>16</v>
      </c>
      <c r="G44" s="46">
        <v>0</v>
      </c>
      <c r="H44" s="22" t="s">
        <v>401</v>
      </c>
      <c r="I44" s="48"/>
    </row>
    <row r="45" ht="25" customHeight="1" spans="1:10">
      <c r="A45" s="22">
        <v>44</v>
      </c>
      <c r="B45" s="23" t="s">
        <v>38</v>
      </c>
      <c r="C45" s="22" t="s">
        <v>394</v>
      </c>
      <c r="D45" s="22" t="s">
        <v>41</v>
      </c>
      <c r="E45" s="22" t="s">
        <v>220</v>
      </c>
      <c r="F45" s="22" t="s">
        <v>16</v>
      </c>
      <c r="G45" s="46">
        <v>0</v>
      </c>
      <c r="H45" s="22" t="s">
        <v>401</v>
      </c>
      <c r="I45" s="48"/>
    </row>
    <row r="46" ht="25" customHeight="1" spans="1:10">
      <c r="A46" s="22">
        <v>45</v>
      </c>
      <c r="B46" s="23" t="s">
        <v>38</v>
      </c>
      <c r="C46" s="22" t="s">
        <v>394</v>
      </c>
      <c r="D46" s="22" t="s">
        <v>42</v>
      </c>
      <c r="E46" s="22" t="s">
        <v>220</v>
      </c>
      <c r="F46" s="22" t="s">
        <v>16</v>
      </c>
      <c r="G46" s="46">
        <v>0</v>
      </c>
      <c r="H46" s="22" t="s">
        <v>401</v>
      </c>
      <c r="I46" s="48"/>
    </row>
    <row r="47" ht="25" customHeight="1" spans="1:10">
      <c r="A47" s="22">
        <v>46</v>
      </c>
      <c r="B47" s="23" t="s">
        <v>38</v>
      </c>
      <c r="C47" s="22" t="s">
        <v>394</v>
      </c>
      <c r="D47" s="22" t="s">
        <v>43</v>
      </c>
      <c r="E47" s="22" t="s">
        <v>220</v>
      </c>
      <c r="F47" s="22" t="s">
        <v>16</v>
      </c>
      <c r="G47" s="46">
        <v>0</v>
      </c>
      <c r="H47" s="22" t="s">
        <v>401</v>
      </c>
      <c r="I47" s="48"/>
    </row>
    <row r="48" ht="25" customHeight="1" spans="1:10">
      <c r="A48" s="22">
        <v>47</v>
      </c>
      <c r="B48" s="23" t="s">
        <v>402</v>
      </c>
      <c r="C48" s="22" t="s">
        <v>394</v>
      </c>
      <c r="D48" s="22" t="s">
        <v>44</v>
      </c>
      <c r="E48" s="22" t="s">
        <v>220</v>
      </c>
      <c r="F48" s="22" t="s">
        <v>16</v>
      </c>
      <c r="G48" s="46">
        <v>0</v>
      </c>
      <c r="H48" s="22" t="s">
        <v>389</v>
      </c>
      <c r="I48" s="48"/>
    </row>
    <row r="49" ht="25" customHeight="1" spans="1:12">
      <c r="A49" s="22">
        <v>48</v>
      </c>
      <c r="B49" s="23" t="s">
        <v>403</v>
      </c>
      <c r="C49" s="22" t="s">
        <v>394</v>
      </c>
      <c r="D49" s="22" t="s">
        <v>45</v>
      </c>
      <c r="E49" s="22" t="s">
        <v>220</v>
      </c>
      <c r="F49" s="22" t="s">
        <v>16</v>
      </c>
      <c r="G49" s="46">
        <v>0</v>
      </c>
      <c r="H49" s="22" t="s">
        <v>404</v>
      </c>
      <c r="I49" s="48"/>
    </row>
    <row r="50" ht="25" customHeight="1" spans="1:12">
      <c r="A50" s="22">
        <v>49</v>
      </c>
      <c r="B50" s="23" t="s">
        <v>38</v>
      </c>
      <c r="C50" s="22" t="s">
        <v>394</v>
      </c>
      <c r="D50" s="22" t="s">
        <v>46</v>
      </c>
      <c r="E50" s="22" t="s">
        <v>220</v>
      </c>
      <c r="F50" s="22" t="s">
        <v>16</v>
      </c>
      <c r="G50" s="46">
        <v>0</v>
      </c>
      <c r="H50" s="22" t="s">
        <v>401</v>
      </c>
      <c r="I50" s="48"/>
    </row>
    <row r="51" ht="18.5" customHeight="1" spans="1:12">
      <c r="A51" s="22">
        <v>1</v>
      </c>
      <c r="B51" s="54" t="s">
        <v>405</v>
      </c>
      <c r="C51" s="22" t="s">
        <v>406</v>
      </c>
      <c r="D51" s="22" t="s">
        <v>14</v>
      </c>
      <c r="E51" s="22" t="s">
        <v>220</v>
      </c>
      <c r="F51" s="22" t="s">
        <v>16</v>
      </c>
      <c r="G51" s="46">
        <v>0</v>
      </c>
      <c r="H51" s="75" t="s">
        <v>407</v>
      </c>
      <c r="I51" s="75" t="s">
        <v>325</v>
      </c>
      <c r="J51" s="22">
        <v>1</v>
      </c>
      <c r="K51" s="72" t="s">
        <v>408</v>
      </c>
      <c r="L51" s="72" t="s">
        <v>409</v>
      </c>
    </row>
    <row r="52" ht="18.5" customHeight="1" spans="1:12">
      <c r="A52" s="22">
        <v>2</v>
      </c>
      <c r="B52" s="54" t="s">
        <v>410</v>
      </c>
      <c r="C52" s="22" t="s">
        <v>406</v>
      </c>
      <c r="D52" s="22" t="s">
        <v>19</v>
      </c>
      <c r="E52" s="22" t="s">
        <v>220</v>
      </c>
      <c r="F52" s="22" t="s">
        <v>16</v>
      </c>
      <c r="G52" s="46">
        <v>0</v>
      </c>
      <c r="H52" s="75" t="s">
        <v>411</v>
      </c>
      <c r="I52" s="75" t="s">
        <v>325</v>
      </c>
      <c r="J52" s="22">
        <v>1</v>
      </c>
      <c r="K52" s="72" t="s">
        <v>412</v>
      </c>
      <c r="L52" s="72" t="s">
        <v>413</v>
      </c>
    </row>
    <row r="53" ht="18.5" customHeight="1" spans="1:12">
      <c r="A53" s="22">
        <v>3</v>
      </c>
      <c r="B53" s="54" t="s">
        <v>414</v>
      </c>
      <c r="C53" s="22" t="s">
        <v>406</v>
      </c>
      <c r="D53" s="22" t="s">
        <v>22</v>
      </c>
      <c r="E53" s="22" t="s">
        <v>220</v>
      </c>
      <c r="F53" s="22" t="s">
        <v>16</v>
      </c>
      <c r="G53" s="46">
        <v>0</v>
      </c>
      <c r="H53" s="75" t="s">
        <v>411</v>
      </c>
      <c r="I53" s="75" t="s">
        <v>325</v>
      </c>
      <c r="J53" s="22">
        <v>1</v>
      </c>
      <c r="K53" s="72" t="s">
        <v>415</v>
      </c>
      <c r="L53" s="72" t="s">
        <v>413</v>
      </c>
    </row>
    <row r="54" ht="18.5" customHeight="1" spans="1:12">
      <c r="A54" s="22">
        <v>4</v>
      </c>
      <c r="B54" s="54" t="s">
        <v>416</v>
      </c>
      <c r="C54" s="22" t="s">
        <v>406</v>
      </c>
      <c r="D54" s="22" t="s">
        <v>25</v>
      </c>
      <c r="E54" s="22" t="s">
        <v>220</v>
      </c>
      <c r="F54" s="22" t="s">
        <v>16</v>
      </c>
      <c r="G54" s="46">
        <v>0</v>
      </c>
      <c r="H54" s="75" t="s">
        <v>411</v>
      </c>
      <c r="I54" s="75" t="s">
        <v>325</v>
      </c>
      <c r="J54" s="22">
        <v>1</v>
      </c>
      <c r="K54" s="72" t="s">
        <v>417</v>
      </c>
      <c r="L54" s="72" t="s">
        <v>418</v>
      </c>
    </row>
    <row r="55" ht="18.5" customHeight="1" spans="1:12">
      <c r="A55" s="22">
        <v>5</v>
      </c>
      <c r="B55" s="54" t="s">
        <v>419</v>
      </c>
      <c r="C55" s="22" t="s">
        <v>406</v>
      </c>
      <c r="D55" s="22" t="s">
        <v>28</v>
      </c>
      <c r="E55" s="22" t="s">
        <v>220</v>
      </c>
      <c r="F55" s="22" t="s">
        <v>16</v>
      </c>
      <c r="G55" s="46">
        <v>0</v>
      </c>
      <c r="H55" s="75" t="s">
        <v>411</v>
      </c>
      <c r="I55" s="75" t="s">
        <v>325</v>
      </c>
      <c r="J55" s="22">
        <v>1</v>
      </c>
      <c r="K55" s="72" t="s">
        <v>420</v>
      </c>
      <c r="L55" s="72" t="s">
        <v>421</v>
      </c>
    </row>
    <row r="56" ht="18.5" customHeight="1" spans="1:12">
      <c r="A56" s="22">
        <v>6</v>
      </c>
      <c r="B56" s="54" t="s">
        <v>422</v>
      </c>
      <c r="C56" s="22" t="s">
        <v>406</v>
      </c>
      <c r="D56" s="22" t="s">
        <v>31</v>
      </c>
      <c r="E56" s="22" t="s">
        <v>220</v>
      </c>
      <c r="F56" s="22" t="s">
        <v>16</v>
      </c>
      <c r="G56" s="46">
        <v>0</v>
      </c>
      <c r="H56" s="75" t="s">
        <v>411</v>
      </c>
      <c r="I56" s="75" t="s">
        <v>325</v>
      </c>
      <c r="J56" s="22">
        <v>1</v>
      </c>
      <c r="K56" s="72" t="s">
        <v>423</v>
      </c>
      <c r="L56" s="72" t="s">
        <v>424</v>
      </c>
    </row>
    <row r="57" ht="18.5" customHeight="1" spans="1:12">
      <c r="A57" s="22">
        <v>7</v>
      </c>
      <c r="B57" s="54" t="s">
        <v>425</v>
      </c>
      <c r="C57" s="22" t="s">
        <v>406</v>
      </c>
      <c r="D57" s="22" t="s">
        <v>34</v>
      </c>
      <c r="E57" s="22" t="s">
        <v>220</v>
      </c>
      <c r="F57" s="22" t="s">
        <v>16</v>
      </c>
      <c r="G57" s="46">
        <v>0</v>
      </c>
      <c r="H57" s="75" t="s">
        <v>411</v>
      </c>
      <c r="I57" s="75" t="s">
        <v>325</v>
      </c>
      <c r="J57" s="22">
        <v>1</v>
      </c>
      <c r="K57" s="72" t="s">
        <v>426</v>
      </c>
      <c r="L57" s="72" t="s">
        <v>427</v>
      </c>
    </row>
    <row r="58" ht="18.5" customHeight="1" spans="1:12">
      <c r="A58" s="22">
        <v>8</v>
      </c>
      <c r="B58" s="81" t="s">
        <v>428</v>
      </c>
      <c r="C58" s="22" t="s">
        <v>406</v>
      </c>
      <c r="D58" s="22" t="s">
        <v>37</v>
      </c>
      <c r="E58" s="22" t="s">
        <v>220</v>
      </c>
      <c r="F58" s="22" t="s">
        <v>16</v>
      </c>
      <c r="G58" s="46">
        <v>0</v>
      </c>
      <c r="H58" s="75" t="s">
        <v>429</v>
      </c>
      <c r="I58" s="75" t="s">
        <v>325</v>
      </c>
      <c r="J58" s="22">
        <v>1</v>
      </c>
      <c r="K58" s="72" t="s">
        <v>430</v>
      </c>
      <c r="L58"/>
    </row>
    <row r="59" ht="18.5" customHeight="1" spans="1:12">
      <c r="A59" s="22">
        <v>9</v>
      </c>
      <c r="B59" s="81" t="s">
        <v>431</v>
      </c>
      <c r="C59" s="22" t="s">
        <v>406</v>
      </c>
      <c r="D59" s="22" t="s">
        <v>39</v>
      </c>
      <c r="E59" s="22" t="s">
        <v>220</v>
      </c>
      <c r="F59" s="22" t="s">
        <v>16</v>
      </c>
      <c r="G59" s="46">
        <v>0</v>
      </c>
      <c r="H59" s="75" t="s">
        <v>429</v>
      </c>
      <c r="I59" s="75" t="s">
        <v>325</v>
      </c>
      <c r="J59" s="22">
        <v>1</v>
      </c>
      <c r="K59" s="72" t="s">
        <v>432</v>
      </c>
    </row>
    <row r="60" ht="18.5" customHeight="1" spans="1:12">
      <c r="A60" s="57">
        <v>10</v>
      </c>
      <c r="B60" s="82" t="s">
        <v>433</v>
      </c>
      <c r="C60" s="57" t="s">
        <v>406</v>
      </c>
      <c r="D60" s="57" t="s">
        <v>40</v>
      </c>
      <c r="E60" s="57" t="s">
        <v>220</v>
      </c>
      <c r="F60" s="22" t="s">
        <v>16</v>
      </c>
      <c r="G60" s="46">
        <v>0</v>
      </c>
      <c r="H60" s="75" t="s">
        <v>411</v>
      </c>
      <c r="I60" s="75" t="s">
        <v>325</v>
      </c>
      <c r="J60" s="22">
        <v>1</v>
      </c>
      <c r="K60" s="72" t="s">
        <v>434</v>
      </c>
      <c r="L60" s="72" t="s">
        <v>435</v>
      </c>
    </row>
    <row r="61" ht="18.5" customHeight="1" spans="1:12">
      <c r="A61" s="22">
        <v>11</v>
      </c>
      <c r="B61" s="54" t="s">
        <v>436</v>
      </c>
      <c r="C61" s="22" t="s">
        <v>406</v>
      </c>
      <c r="D61" s="22" t="s">
        <v>41</v>
      </c>
      <c r="E61" s="22" t="s">
        <v>220</v>
      </c>
      <c r="F61" s="22" t="s">
        <v>16</v>
      </c>
      <c r="G61" s="46">
        <v>0</v>
      </c>
      <c r="H61" s="75" t="s">
        <v>411</v>
      </c>
      <c r="I61" s="75" t="s">
        <v>325</v>
      </c>
      <c r="J61" s="22">
        <v>1</v>
      </c>
      <c r="K61" s="72" t="s">
        <v>437</v>
      </c>
      <c r="L61" s="72" t="s">
        <v>413</v>
      </c>
    </row>
    <row r="62" ht="28" spans="1:12">
      <c r="A62" s="39">
        <v>12</v>
      </c>
      <c r="B62" s="83" t="s">
        <v>438</v>
      </c>
      <c r="C62" s="39" t="s">
        <v>406</v>
      </c>
      <c r="D62" s="39" t="s">
        <v>42</v>
      </c>
      <c r="E62" s="39" t="s">
        <v>220</v>
      </c>
      <c r="F62" s="39" t="s">
        <v>16</v>
      </c>
      <c r="G62" s="84">
        <v>0</v>
      </c>
      <c r="H62" s="75" t="s">
        <v>411</v>
      </c>
      <c r="I62" s="75" t="s">
        <v>325</v>
      </c>
      <c r="J62" s="22">
        <v>1</v>
      </c>
      <c r="K62" s="72" t="s">
        <v>439</v>
      </c>
      <c r="L62" s="85" t="s">
        <v>440</v>
      </c>
    </row>
    <row r="63" ht="18.5" customHeight="1" spans="1:12">
      <c r="A63" s="22">
        <v>13</v>
      </c>
      <c r="B63" s="54" t="s">
        <v>441</v>
      </c>
      <c r="C63" s="22" t="s">
        <v>406</v>
      </c>
      <c r="D63" s="22" t="s">
        <v>43</v>
      </c>
      <c r="E63" s="22" t="s">
        <v>220</v>
      </c>
      <c r="F63" s="22" t="s">
        <v>16</v>
      </c>
      <c r="G63" s="46">
        <v>0</v>
      </c>
      <c r="H63" s="75" t="s">
        <v>411</v>
      </c>
      <c r="I63" s="75" t="s">
        <v>325</v>
      </c>
      <c r="J63" s="22">
        <v>1</v>
      </c>
      <c r="K63" s="72" t="s">
        <v>442</v>
      </c>
      <c r="L63" s="72" t="s">
        <v>443</v>
      </c>
    </row>
    <row r="64" ht="18.5" customHeight="1" spans="1:12">
      <c r="A64" s="22">
        <v>14</v>
      </c>
      <c r="B64" s="86" t="s">
        <v>444</v>
      </c>
      <c r="C64" s="22" t="s">
        <v>406</v>
      </c>
      <c r="D64" s="22" t="s">
        <v>44</v>
      </c>
      <c r="E64" s="22" t="s">
        <v>220</v>
      </c>
      <c r="F64" s="22" t="s">
        <v>16</v>
      </c>
      <c r="G64" s="46">
        <v>0</v>
      </c>
      <c r="H64" s="75" t="s">
        <v>445</v>
      </c>
      <c r="I64" s="75" t="s">
        <v>325</v>
      </c>
      <c r="J64" s="22"/>
      <c r="K64" s="72" t="s">
        <v>446</v>
      </c>
      <c r="L64" s="87" t="s">
        <v>447</v>
      </c>
    </row>
    <row r="65" ht="18.5" customHeight="1" spans="1:12">
      <c r="A65" s="22">
        <v>15</v>
      </c>
      <c r="B65" s="81" t="s">
        <v>448</v>
      </c>
      <c r="C65" s="22" t="s">
        <v>406</v>
      </c>
      <c r="D65" s="22" t="s">
        <v>45</v>
      </c>
      <c r="E65" s="22" t="s">
        <v>220</v>
      </c>
      <c r="F65" s="22" t="s">
        <v>16</v>
      </c>
      <c r="G65" s="46">
        <v>0</v>
      </c>
      <c r="H65" s="75" t="s">
        <v>445</v>
      </c>
      <c r="I65" s="75" t="s">
        <v>325</v>
      </c>
      <c r="J65" s="22">
        <v>1</v>
      </c>
      <c r="K65" s="72" t="s">
        <v>449</v>
      </c>
      <c r="L65" s="88" t="s">
        <v>447</v>
      </c>
    </row>
    <row r="66" ht="18.5" customHeight="1" spans="1:12">
      <c r="A66" s="22">
        <v>16</v>
      </c>
      <c r="B66" s="54" t="s">
        <v>450</v>
      </c>
      <c r="C66" s="22" t="s">
        <v>406</v>
      </c>
      <c r="D66" s="22" t="s">
        <v>46</v>
      </c>
      <c r="E66" s="22" t="s">
        <v>220</v>
      </c>
      <c r="F66" s="22" t="s">
        <v>16</v>
      </c>
      <c r="G66" s="46">
        <v>0</v>
      </c>
      <c r="H66" s="75" t="s">
        <v>451</v>
      </c>
      <c r="I66" s="75" t="s">
        <v>325</v>
      </c>
      <c r="J66" s="22">
        <v>1</v>
      </c>
      <c r="K66" s="72" t="s">
        <v>452</v>
      </c>
      <c r="L66" s="72" t="s">
        <v>453</v>
      </c>
    </row>
    <row r="67" ht="18.5" customHeight="1" spans="1:12">
      <c r="A67" s="22">
        <v>17</v>
      </c>
      <c r="B67" s="54" t="s">
        <v>454</v>
      </c>
      <c r="C67" s="22" t="s">
        <v>455</v>
      </c>
      <c r="D67" s="22" t="s">
        <v>14</v>
      </c>
      <c r="E67" s="22" t="s">
        <v>220</v>
      </c>
      <c r="F67" s="22" t="s">
        <v>16</v>
      </c>
      <c r="G67" s="46">
        <v>0</v>
      </c>
      <c r="H67" s="75" t="s">
        <v>451</v>
      </c>
      <c r="I67" s="75" t="s">
        <v>325</v>
      </c>
      <c r="J67" s="22">
        <v>1</v>
      </c>
      <c r="K67" s="72" t="s">
        <v>456</v>
      </c>
      <c r="L67" s="72" t="s">
        <v>457</v>
      </c>
    </row>
    <row r="68" ht="18.5" customHeight="1" spans="1:12">
      <c r="A68" s="22">
        <v>18</v>
      </c>
      <c r="B68" s="54" t="s">
        <v>458</v>
      </c>
      <c r="C68" s="22" t="s">
        <v>455</v>
      </c>
      <c r="D68" s="22" t="s">
        <v>19</v>
      </c>
      <c r="E68" s="22" t="s">
        <v>220</v>
      </c>
      <c r="F68" s="22" t="s">
        <v>16</v>
      </c>
      <c r="G68" s="46">
        <v>0</v>
      </c>
      <c r="H68" s="75" t="s">
        <v>451</v>
      </c>
      <c r="I68" s="75" t="s">
        <v>325</v>
      </c>
      <c r="J68" s="22">
        <v>1</v>
      </c>
      <c r="K68" s="72" t="s">
        <v>459</v>
      </c>
      <c r="L68" s="72" t="s">
        <v>460</v>
      </c>
    </row>
    <row r="69" ht="18.5" customHeight="1" spans="1:12">
      <c r="A69" s="22">
        <v>19</v>
      </c>
      <c r="B69" s="54" t="s">
        <v>461</v>
      </c>
      <c r="C69" s="22" t="s">
        <v>455</v>
      </c>
      <c r="D69" s="22" t="s">
        <v>22</v>
      </c>
      <c r="E69" s="22" t="s">
        <v>220</v>
      </c>
      <c r="F69" s="22" t="s">
        <v>16</v>
      </c>
      <c r="G69" s="46">
        <v>0</v>
      </c>
      <c r="H69" s="75" t="s">
        <v>451</v>
      </c>
      <c r="I69" s="75" t="s">
        <v>325</v>
      </c>
      <c r="J69" s="22">
        <v>1</v>
      </c>
      <c r="K69" s="72" t="s">
        <v>462</v>
      </c>
      <c r="L69" s="72" t="s">
        <v>463</v>
      </c>
    </row>
    <row r="70" ht="18.5" customHeight="1" spans="1:12">
      <c r="A70" s="22">
        <v>20</v>
      </c>
      <c r="B70" s="54" t="s">
        <v>464</v>
      </c>
      <c r="C70" s="22" t="s">
        <v>455</v>
      </c>
      <c r="D70" s="22" t="s">
        <v>25</v>
      </c>
      <c r="E70" s="22" t="s">
        <v>220</v>
      </c>
      <c r="F70" s="22" t="s">
        <v>16</v>
      </c>
      <c r="G70" s="46">
        <v>0</v>
      </c>
      <c r="H70" s="75" t="s">
        <v>451</v>
      </c>
      <c r="I70" s="75" t="s">
        <v>325</v>
      </c>
      <c r="J70" s="22">
        <v>1</v>
      </c>
      <c r="K70" s="72" t="s">
        <v>465</v>
      </c>
      <c r="L70" s="72" t="s">
        <v>466</v>
      </c>
    </row>
    <row r="71" ht="18.5" customHeight="1" spans="1:12">
      <c r="A71" s="22">
        <v>21</v>
      </c>
      <c r="B71" s="54" t="s">
        <v>467</v>
      </c>
      <c r="C71" s="22" t="s">
        <v>455</v>
      </c>
      <c r="D71" s="22" t="s">
        <v>28</v>
      </c>
      <c r="E71" s="22" t="s">
        <v>220</v>
      </c>
      <c r="F71" s="22" t="s">
        <v>16</v>
      </c>
      <c r="G71" s="46">
        <v>0</v>
      </c>
      <c r="H71" s="75" t="s">
        <v>411</v>
      </c>
      <c r="I71" s="75" t="s">
        <v>325</v>
      </c>
      <c r="J71" s="22">
        <v>1</v>
      </c>
      <c r="K71" s="72" t="s">
        <v>468</v>
      </c>
      <c r="L71" s="72" t="s">
        <v>469</v>
      </c>
    </row>
    <row r="72" ht="18.5" customHeight="1" spans="1:12">
      <c r="A72" s="22">
        <v>22</v>
      </c>
      <c r="B72" s="54" t="s">
        <v>470</v>
      </c>
      <c r="C72" s="22" t="s">
        <v>455</v>
      </c>
      <c r="D72" s="22" t="s">
        <v>31</v>
      </c>
      <c r="E72" s="22" t="s">
        <v>220</v>
      </c>
      <c r="F72" s="22" t="s">
        <v>16</v>
      </c>
      <c r="G72" s="46">
        <v>0</v>
      </c>
      <c r="H72" s="75" t="s">
        <v>451</v>
      </c>
      <c r="I72" s="75" t="s">
        <v>325</v>
      </c>
      <c r="J72" s="22">
        <v>1</v>
      </c>
      <c r="K72" s="72" t="s">
        <v>471</v>
      </c>
      <c r="L72" s="72" t="s">
        <v>472</v>
      </c>
    </row>
    <row r="73" ht="18.5" customHeight="1" spans="1:12">
      <c r="A73" s="22">
        <v>23</v>
      </c>
      <c r="B73" s="54" t="s">
        <v>473</v>
      </c>
      <c r="C73" s="22" t="s">
        <v>455</v>
      </c>
      <c r="D73" s="22" t="s">
        <v>34</v>
      </c>
      <c r="E73" s="22" t="s">
        <v>220</v>
      </c>
      <c r="F73" s="22" t="s">
        <v>16</v>
      </c>
      <c r="G73" s="46">
        <v>0</v>
      </c>
      <c r="H73" s="75" t="s">
        <v>451</v>
      </c>
      <c r="I73" s="75" t="s">
        <v>325</v>
      </c>
      <c r="J73" s="22">
        <v>1</v>
      </c>
      <c r="K73" s="72" t="s">
        <v>474</v>
      </c>
      <c r="L73" s="72" t="s">
        <v>475</v>
      </c>
    </row>
    <row r="74" ht="18.5" customHeight="1" spans="1:12">
      <c r="A74" s="22">
        <v>24</v>
      </c>
      <c r="B74" s="54" t="s">
        <v>476</v>
      </c>
      <c r="C74" s="22" t="s">
        <v>455</v>
      </c>
      <c r="D74" s="22" t="s">
        <v>37</v>
      </c>
      <c r="E74" s="22" t="s">
        <v>220</v>
      </c>
      <c r="F74" s="22" t="s">
        <v>16</v>
      </c>
      <c r="G74" s="46">
        <v>0</v>
      </c>
      <c r="H74" s="75" t="s">
        <v>445</v>
      </c>
      <c r="I74" s="75" t="s">
        <v>325</v>
      </c>
      <c r="J74" s="22">
        <v>2</v>
      </c>
      <c r="K74" s="72" t="s">
        <v>477</v>
      </c>
      <c r="L74" s="72" t="s">
        <v>478</v>
      </c>
    </row>
    <row r="75" ht="18.5" customHeight="1" spans="1:12">
      <c r="A75" s="22">
        <v>25</v>
      </c>
      <c r="B75" s="54" t="s">
        <v>479</v>
      </c>
      <c r="C75" s="22" t="s">
        <v>455</v>
      </c>
      <c r="D75" s="22" t="s">
        <v>39</v>
      </c>
      <c r="E75" s="22" t="s">
        <v>220</v>
      </c>
      <c r="F75" s="22" t="s">
        <v>16</v>
      </c>
      <c r="G75" s="46">
        <v>0</v>
      </c>
      <c r="H75" s="75" t="s">
        <v>445</v>
      </c>
      <c r="I75" s="75" t="s">
        <v>325</v>
      </c>
      <c r="J75" s="22">
        <v>2</v>
      </c>
      <c r="K75" s="72" t="s">
        <v>480</v>
      </c>
      <c r="L75" s="72" t="s">
        <v>481</v>
      </c>
    </row>
    <row r="76" ht="18.5" customHeight="1" spans="1:12">
      <c r="A76" s="22">
        <v>26</v>
      </c>
      <c r="B76" s="54" t="s">
        <v>482</v>
      </c>
      <c r="C76" s="22" t="s">
        <v>455</v>
      </c>
      <c r="D76" s="22" t="s">
        <v>40</v>
      </c>
      <c r="E76" s="22" t="s">
        <v>220</v>
      </c>
      <c r="F76" s="22" t="s">
        <v>16</v>
      </c>
      <c r="G76" s="46">
        <v>0</v>
      </c>
      <c r="H76" s="75" t="s">
        <v>483</v>
      </c>
      <c r="I76" s="75" t="s">
        <v>325</v>
      </c>
      <c r="J76" s="22">
        <v>1</v>
      </c>
      <c r="K76" s="72" t="s">
        <v>484</v>
      </c>
      <c r="L76" s="72" t="s">
        <v>485</v>
      </c>
    </row>
    <row r="77" ht="18.5" customHeight="1" spans="1:12">
      <c r="A77" s="22">
        <v>27</v>
      </c>
      <c r="B77" s="54" t="s">
        <v>486</v>
      </c>
      <c r="C77" s="22" t="s">
        <v>455</v>
      </c>
      <c r="D77" s="22" t="s">
        <v>41</v>
      </c>
      <c r="E77" s="22" t="s">
        <v>220</v>
      </c>
      <c r="F77" s="22" t="s">
        <v>16</v>
      </c>
      <c r="G77" s="46">
        <v>0</v>
      </c>
      <c r="H77" s="75" t="s">
        <v>483</v>
      </c>
      <c r="I77" s="75" t="s">
        <v>325</v>
      </c>
      <c r="J77" s="22">
        <v>1</v>
      </c>
      <c r="K77" s="72" t="s">
        <v>487</v>
      </c>
      <c r="L77" s="72" t="s">
        <v>488</v>
      </c>
    </row>
    <row r="78" ht="18.5" customHeight="1" spans="1:12">
      <c r="A78" s="22">
        <v>28</v>
      </c>
      <c r="B78" s="54" t="s">
        <v>489</v>
      </c>
      <c r="C78" s="22" t="s">
        <v>455</v>
      </c>
      <c r="D78" s="22" t="s">
        <v>42</v>
      </c>
      <c r="E78" s="22" t="s">
        <v>220</v>
      </c>
      <c r="F78" s="22" t="s">
        <v>16</v>
      </c>
      <c r="G78" s="46">
        <v>0</v>
      </c>
      <c r="H78" s="75" t="s">
        <v>483</v>
      </c>
      <c r="I78" s="75" t="s">
        <v>325</v>
      </c>
      <c r="J78" s="22">
        <v>1</v>
      </c>
      <c r="K78" s="72" t="s">
        <v>490</v>
      </c>
      <c r="L78" s="72" t="s">
        <v>491</v>
      </c>
    </row>
    <row r="79" ht="18.5" customHeight="1" spans="1:12">
      <c r="A79" s="22">
        <v>29</v>
      </c>
      <c r="B79" s="54" t="s">
        <v>492</v>
      </c>
      <c r="C79" s="22" t="s">
        <v>455</v>
      </c>
      <c r="D79" s="22" t="s">
        <v>43</v>
      </c>
      <c r="E79" s="22" t="s">
        <v>220</v>
      </c>
      <c r="F79" s="22" t="s">
        <v>16</v>
      </c>
      <c r="G79" s="46">
        <v>0</v>
      </c>
      <c r="H79" s="75" t="s">
        <v>483</v>
      </c>
      <c r="I79" s="75" t="s">
        <v>325</v>
      </c>
      <c r="J79" s="22">
        <v>1</v>
      </c>
      <c r="K79" s="72" t="s">
        <v>493</v>
      </c>
      <c r="L79" s="72" t="s">
        <v>494</v>
      </c>
    </row>
    <row r="80" ht="18.5" customHeight="1" spans="1:12">
      <c r="A80" s="22">
        <v>30</v>
      </c>
      <c r="B80" s="54" t="s">
        <v>38</v>
      </c>
      <c r="C80" s="22" t="s">
        <v>455</v>
      </c>
      <c r="D80" s="22" t="s">
        <v>44</v>
      </c>
      <c r="E80" s="22" t="s">
        <v>220</v>
      </c>
      <c r="F80" s="22" t="s">
        <v>16</v>
      </c>
      <c r="G80" s="46">
        <v>0</v>
      </c>
      <c r="H80" s="75"/>
      <c r="I80" s="75"/>
      <c r="J80" s="22"/>
      <c r="K80" s="72" t="s">
        <v>495</v>
      </c>
    </row>
    <row r="81" ht="18.5" customHeight="1" spans="1:12">
      <c r="A81" s="22">
        <v>31</v>
      </c>
      <c r="B81" s="54" t="s">
        <v>496</v>
      </c>
      <c r="C81" s="22" t="s">
        <v>455</v>
      </c>
      <c r="D81" s="22" t="s">
        <v>45</v>
      </c>
      <c r="E81" s="22" t="s">
        <v>220</v>
      </c>
      <c r="F81" s="22" t="s">
        <v>16</v>
      </c>
      <c r="G81" s="46">
        <v>0</v>
      </c>
      <c r="H81" s="75" t="s">
        <v>497</v>
      </c>
      <c r="I81" s="75" t="s">
        <v>325</v>
      </c>
      <c r="J81" s="22">
        <v>3</v>
      </c>
      <c r="K81" s="72" t="s">
        <v>498</v>
      </c>
      <c r="L81" s="72" t="s">
        <v>499</v>
      </c>
    </row>
    <row r="82" ht="18.5" customHeight="1" spans="1:12">
      <c r="A82" s="22">
        <v>32</v>
      </c>
      <c r="B82" s="54" t="s">
        <v>38</v>
      </c>
      <c r="C82" s="22" t="s">
        <v>455</v>
      </c>
      <c r="D82" s="22" t="s">
        <v>46</v>
      </c>
      <c r="E82" s="22" t="s">
        <v>220</v>
      </c>
      <c r="F82" s="22" t="s">
        <v>16</v>
      </c>
      <c r="G82" s="46">
        <v>0</v>
      </c>
      <c r="H82" s="75"/>
      <c r="I82" s="75"/>
      <c r="J82" s="22"/>
      <c r="K82" s="72" t="s">
        <v>500</v>
      </c>
    </row>
    <row r="83" ht="18.5" customHeight="1" spans="1:12">
      <c r="A83" s="22">
        <v>33</v>
      </c>
      <c r="B83" s="25" t="s">
        <v>501</v>
      </c>
      <c r="C83" s="24" t="s">
        <v>502</v>
      </c>
      <c r="D83" s="24" t="s">
        <v>14</v>
      </c>
      <c r="E83" s="24" t="s">
        <v>220</v>
      </c>
      <c r="F83" s="24" t="s">
        <v>16</v>
      </c>
      <c r="G83" s="66">
        <v>0</v>
      </c>
      <c r="H83" s="89"/>
      <c r="I83" s="75" t="s">
        <v>325</v>
      </c>
      <c r="J83" s="24"/>
      <c r="K83" s="90" t="s">
        <v>503</v>
      </c>
      <c r="L83" s="90" t="s">
        <v>504</v>
      </c>
    </row>
    <row r="84" ht="18.5" customHeight="1" spans="1:12">
      <c r="A84" s="22">
        <v>34</v>
      </c>
      <c r="B84" s="23" t="s">
        <v>38</v>
      </c>
      <c r="C84" s="22" t="s">
        <v>502</v>
      </c>
      <c r="D84" s="22" t="s">
        <v>19</v>
      </c>
      <c r="E84" s="22" t="s">
        <v>220</v>
      </c>
      <c r="F84" s="22" t="s">
        <v>16</v>
      </c>
      <c r="G84" s="46">
        <v>0</v>
      </c>
      <c r="H84" s="75"/>
      <c r="I84" s="75"/>
      <c r="J84" s="22"/>
      <c r="K84" s="72" t="s">
        <v>505</v>
      </c>
    </row>
    <row r="85" ht="18.5" customHeight="1" spans="1:12">
      <c r="A85" s="22">
        <v>35</v>
      </c>
      <c r="B85" s="23" t="s">
        <v>38</v>
      </c>
      <c r="C85" s="22" t="s">
        <v>502</v>
      </c>
      <c r="D85" s="22" t="s">
        <v>22</v>
      </c>
      <c r="E85" s="22" t="s">
        <v>220</v>
      </c>
      <c r="F85" s="22" t="s">
        <v>16</v>
      </c>
      <c r="G85" s="46">
        <v>0</v>
      </c>
      <c r="H85" s="75"/>
      <c r="I85" s="75"/>
      <c r="J85" s="22"/>
      <c r="K85" s="72" t="s">
        <v>506</v>
      </c>
    </row>
    <row r="86" ht="18.5" customHeight="1" spans="1:12">
      <c r="A86" s="22">
        <v>36</v>
      </c>
      <c r="B86" s="23" t="s">
        <v>38</v>
      </c>
      <c r="C86" s="22" t="s">
        <v>502</v>
      </c>
      <c r="D86" s="22" t="s">
        <v>25</v>
      </c>
      <c r="E86" s="22" t="s">
        <v>220</v>
      </c>
      <c r="F86" s="22" t="s">
        <v>16</v>
      </c>
      <c r="G86" s="46">
        <v>0</v>
      </c>
      <c r="H86" s="75"/>
      <c r="I86" s="75"/>
      <c r="J86" s="22"/>
      <c r="K86" s="72" t="s">
        <v>507</v>
      </c>
    </row>
    <row r="87" ht="18.5" customHeight="1" spans="1:12">
      <c r="A87" s="22">
        <v>37</v>
      </c>
      <c r="B87" s="23" t="s">
        <v>508</v>
      </c>
      <c r="C87" s="22" t="s">
        <v>502</v>
      </c>
      <c r="D87" s="22" t="s">
        <v>28</v>
      </c>
      <c r="E87" s="22" t="s">
        <v>220</v>
      </c>
      <c r="F87" s="22" t="s">
        <v>16</v>
      </c>
      <c r="G87" s="46">
        <v>0</v>
      </c>
      <c r="H87" s="75" t="s">
        <v>451</v>
      </c>
      <c r="I87" s="75" t="s">
        <v>325</v>
      </c>
      <c r="J87" s="22">
        <v>1</v>
      </c>
      <c r="K87" s="72" t="s">
        <v>509</v>
      </c>
      <c r="L87" s="72" t="s">
        <v>510</v>
      </c>
    </row>
    <row r="88" ht="18.5" customHeight="1" spans="1:12">
      <c r="A88" s="22">
        <v>38</v>
      </c>
      <c r="B88" s="23" t="s">
        <v>511</v>
      </c>
      <c r="C88" s="22" t="s">
        <v>502</v>
      </c>
      <c r="D88" s="22" t="s">
        <v>31</v>
      </c>
      <c r="E88" s="22" t="s">
        <v>220</v>
      </c>
      <c r="F88" s="22" t="s">
        <v>16</v>
      </c>
      <c r="G88" s="46">
        <v>0</v>
      </c>
      <c r="H88" s="75" t="s">
        <v>451</v>
      </c>
      <c r="I88" s="75" t="s">
        <v>325</v>
      </c>
      <c r="J88" s="22">
        <v>1</v>
      </c>
      <c r="K88" s="72" t="s">
        <v>512</v>
      </c>
      <c r="L88" s="72" t="s">
        <v>513</v>
      </c>
    </row>
    <row r="89" ht="18.5" customHeight="1" spans="1:12">
      <c r="A89" s="22">
        <v>39</v>
      </c>
      <c r="B89" s="23" t="s">
        <v>38</v>
      </c>
      <c r="C89" s="22" t="s">
        <v>502</v>
      </c>
      <c r="D89" s="22" t="s">
        <v>34</v>
      </c>
      <c r="E89" s="22" t="s">
        <v>220</v>
      </c>
      <c r="F89" s="22" t="s">
        <v>16</v>
      </c>
      <c r="G89" s="46">
        <v>0</v>
      </c>
      <c r="H89" s="75"/>
      <c r="I89" s="75"/>
      <c r="J89" s="22"/>
      <c r="K89" s="72" t="s">
        <v>514</v>
      </c>
    </row>
    <row r="90" ht="18.5" customHeight="1" spans="1:12">
      <c r="A90" s="22">
        <v>40</v>
      </c>
      <c r="B90" s="23" t="s">
        <v>38</v>
      </c>
      <c r="C90" s="22" t="s">
        <v>502</v>
      </c>
      <c r="D90" s="22" t="s">
        <v>37</v>
      </c>
      <c r="E90" s="22" t="s">
        <v>220</v>
      </c>
      <c r="F90" s="22" t="s">
        <v>16</v>
      </c>
      <c r="G90" s="46">
        <v>0</v>
      </c>
      <c r="H90" s="75"/>
      <c r="I90" s="75"/>
      <c r="J90" s="22"/>
      <c r="K90" s="72" t="s">
        <v>515</v>
      </c>
    </row>
    <row r="91" ht="18.5" customHeight="1" spans="1:12">
      <c r="A91" s="22">
        <v>41</v>
      </c>
      <c r="B91" s="23" t="s">
        <v>38</v>
      </c>
      <c r="C91" s="22" t="s">
        <v>502</v>
      </c>
      <c r="D91" s="22" t="s">
        <v>39</v>
      </c>
      <c r="E91" s="22" t="s">
        <v>220</v>
      </c>
      <c r="F91" s="22" t="s">
        <v>16</v>
      </c>
      <c r="G91" s="46">
        <v>0</v>
      </c>
      <c r="H91" s="75"/>
      <c r="I91" s="75"/>
      <c r="J91" s="22"/>
      <c r="K91" s="72" t="s">
        <v>516</v>
      </c>
    </row>
    <row r="92" ht="18.5" customHeight="1" spans="1:12">
      <c r="A92" s="22">
        <v>42</v>
      </c>
      <c r="B92" s="23" t="s">
        <v>517</v>
      </c>
      <c r="C92" s="22" t="s">
        <v>502</v>
      </c>
      <c r="D92" s="22" t="s">
        <v>40</v>
      </c>
      <c r="E92" s="22" t="s">
        <v>220</v>
      </c>
      <c r="F92" s="22" t="s">
        <v>16</v>
      </c>
      <c r="G92" s="46">
        <v>0</v>
      </c>
      <c r="H92" s="75" t="s">
        <v>451</v>
      </c>
      <c r="I92" s="75" t="s">
        <v>325</v>
      </c>
      <c r="J92" s="22">
        <v>1</v>
      </c>
      <c r="K92" s="72" t="s">
        <v>518</v>
      </c>
      <c r="L92" s="72" t="s">
        <v>519</v>
      </c>
    </row>
    <row r="93" ht="18.5" customHeight="1" spans="1:12">
      <c r="A93" s="22">
        <v>43</v>
      </c>
      <c r="B93" s="23" t="s">
        <v>38</v>
      </c>
      <c r="C93" s="22" t="s">
        <v>502</v>
      </c>
      <c r="D93" s="22" t="s">
        <v>41</v>
      </c>
      <c r="E93" s="22" t="s">
        <v>220</v>
      </c>
      <c r="F93" s="22" t="s">
        <v>16</v>
      </c>
      <c r="G93" s="46">
        <v>0</v>
      </c>
      <c r="H93" s="75"/>
      <c r="I93" s="75"/>
      <c r="J93" s="22"/>
      <c r="K93" s="72" t="s">
        <v>520</v>
      </c>
    </row>
    <row r="94" ht="18.5" customHeight="1" spans="1:12">
      <c r="A94" s="22">
        <v>44</v>
      </c>
      <c r="B94" s="23" t="s">
        <v>38</v>
      </c>
      <c r="C94" s="22" t="s">
        <v>502</v>
      </c>
      <c r="D94" s="22" t="s">
        <v>42</v>
      </c>
      <c r="E94" s="22" t="s">
        <v>220</v>
      </c>
      <c r="F94" s="22" t="s">
        <v>16</v>
      </c>
      <c r="G94" s="46">
        <v>0</v>
      </c>
      <c r="H94" s="75"/>
      <c r="I94" s="75"/>
      <c r="J94" s="22"/>
      <c r="K94" s="72" t="s">
        <v>521</v>
      </c>
    </row>
    <row r="95" ht="18.5" customHeight="1" spans="1:12">
      <c r="A95" s="22">
        <v>45</v>
      </c>
      <c r="B95" s="23" t="s">
        <v>38</v>
      </c>
      <c r="C95" s="22" t="s">
        <v>502</v>
      </c>
      <c r="D95" s="22" t="s">
        <v>43</v>
      </c>
      <c r="E95" s="22" t="s">
        <v>220</v>
      </c>
      <c r="F95" s="22" t="s">
        <v>16</v>
      </c>
      <c r="G95" s="46">
        <v>0</v>
      </c>
      <c r="H95" s="75"/>
      <c r="I95" s="75"/>
      <c r="J95" s="22"/>
      <c r="K95" s="72" t="s">
        <v>522</v>
      </c>
    </row>
    <row r="96" ht="18.5" customHeight="1" spans="1:12">
      <c r="A96" s="22">
        <v>46</v>
      </c>
      <c r="B96" s="23" t="s">
        <v>38</v>
      </c>
      <c r="C96" s="22" t="s">
        <v>502</v>
      </c>
      <c r="D96" s="22" t="s">
        <v>44</v>
      </c>
      <c r="E96" s="22" t="s">
        <v>220</v>
      </c>
      <c r="F96" s="22" t="s">
        <v>16</v>
      </c>
      <c r="G96" s="46">
        <v>0</v>
      </c>
      <c r="H96" s="75"/>
      <c r="I96" s="75"/>
      <c r="J96" s="22"/>
      <c r="K96" s="72" t="s">
        <v>523</v>
      </c>
    </row>
    <row r="97" ht="18.5" customHeight="1" spans="1:12">
      <c r="A97" s="22">
        <v>47</v>
      </c>
      <c r="B97" s="23" t="s">
        <v>38</v>
      </c>
      <c r="C97" s="22" t="s">
        <v>502</v>
      </c>
      <c r="D97" s="22" t="s">
        <v>45</v>
      </c>
      <c r="E97" s="22" t="s">
        <v>220</v>
      </c>
      <c r="F97" s="22" t="s">
        <v>16</v>
      </c>
      <c r="G97" s="46">
        <v>0</v>
      </c>
      <c r="H97" s="75"/>
      <c r="I97" s="75"/>
      <c r="J97" s="22"/>
      <c r="K97" s="72" t="s">
        <v>524</v>
      </c>
    </row>
    <row r="98" ht="18.5" customHeight="1" spans="1:12">
      <c r="A98" s="22">
        <v>48</v>
      </c>
      <c r="B98" s="23" t="s">
        <v>38</v>
      </c>
      <c r="C98" s="22" t="s">
        <v>502</v>
      </c>
      <c r="D98" s="22" t="s">
        <v>46</v>
      </c>
      <c r="E98" s="22" t="s">
        <v>220</v>
      </c>
      <c r="F98" s="22" t="s">
        <v>16</v>
      </c>
      <c r="G98" s="46">
        <v>0</v>
      </c>
      <c r="H98" s="75"/>
      <c r="I98" s="75"/>
      <c r="J98" s="22"/>
      <c r="K98" s="72" t="s">
        <v>525</v>
      </c>
    </row>
    <row r="99" ht="18.5" customHeight="1" spans="1:12">
      <c r="A99" s="22">
        <v>49</v>
      </c>
      <c r="B99" s="23" t="s">
        <v>38</v>
      </c>
      <c r="C99" s="22" t="s">
        <v>526</v>
      </c>
      <c r="D99" s="22" t="s">
        <v>14</v>
      </c>
      <c r="E99" s="22" t="s">
        <v>220</v>
      </c>
      <c r="F99" s="22" t="s">
        <v>16</v>
      </c>
      <c r="G99" s="46">
        <v>0</v>
      </c>
      <c r="H99" s="75"/>
      <c r="I99" s="75"/>
      <c r="J99" s="22"/>
      <c r="K99" s="72" t="s">
        <v>527</v>
      </c>
    </row>
    <row r="100" ht="18.5" customHeight="1" spans="1:12">
      <c r="A100" s="22">
        <v>50</v>
      </c>
      <c r="B100" s="23" t="s">
        <v>38</v>
      </c>
      <c r="C100" s="22" t="s">
        <v>526</v>
      </c>
      <c r="D100" s="22" t="s">
        <v>19</v>
      </c>
      <c r="E100" s="22" t="s">
        <v>220</v>
      </c>
      <c r="F100" s="22" t="s">
        <v>16</v>
      </c>
      <c r="G100" s="46">
        <v>0</v>
      </c>
      <c r="H100" s="75"/>
      <c r="I100" s="75"/>
      <c r="J100" s="22"/>
      <c r="K100" s="72" t="s">
        <v>528</v>
      </c>
    </row>
    <row r="101" spans="1:12">
      <c r="A101" s="22">
        <v>51</v>
      </c>
      <c r="B101" s="23" t="s">
        <v>38</v>
      </c>
      <c r="C101" s="22" t="s">
        <v>526</v>
      </c>
      <c r="D101" s="22" t="s">
        <v>22</v>
      </c>
      <c r="E101" s="22" t="s">
        <v>220</v>
      </c>
      <c r="F101" s="22" t="s">
        <v>16</v>
      </c>
      <c r="G101" s="46">
        <v>0</v>
      </c>
      <c r="H101" s="75"/>
      <c r="I101" s="75"/>
      <c r="J101" s="22"/>
      <c r="K101" s="72" t="s">
        <v>529</v>
      </c>
    </row>
    <row r="102" spans="1:12">
      <c r="A102" s="22">
        <v>52</v>
      </c>
      <c r="B102" s="23" t="s">
        <v>530</v>
      </c>
      <c r="C102" s="22" t="s">
        <v>526</v>
      </c>
      <c r="D102" s="22" t="s">
        <v>25</v>
      </c>
      <c r="E102" s="22" t="s">
        <v>220</v>
      </c>
      <c r="F102" s="22" t="s">
        <v>16</v>
      </c>
      <c r="G102" s="46">
        <v>0</v>
      </c>
      <c r="H102" s="75" t="s">
        <v>451</v>
      </c>
      <c r="I102" s="75" t="s">
        <v>325</v>
      </c>
      <c r="J102" s="22">
        <v>1</v>
      </c>
      <c r="K102" s="72" t="s">
        <v>531</v>
      </c>
      <c r="L102" s="72" t="s">
        <v>519</v>
      </c>
    </row>
    <row r="103" spans="1:12">
      <c r="A103" s="22">
        <v>53</v>
      </c>
      <c r="B103" s="23" t="s">
        <v>532</v>
      </c>
      <c r="C103" s="22" t="s">
        <v>526</v>
      </c>
      <c r="D103" s="22" t="s">
        <v>28</v>
      </c>
      <c r="E103" s="22" t="s">
        <v>220</v>
      </c>
      <c r="F103" s="22" t="s">
        <v>16</v>
      </c>
      <c r="G103" s="46">
        <v>0</v>
      </c>
      <c r="H103" s="75" t="s">
        <v>451</v>
      </c>
      <c r="I103" s="75" t="s">
        <v>325</v>
      </c>
      <c r="J103" s="22">
        <v>1</v>
      </c>
      <c r="K103" s="72" t="s">
        <v>533</v>
      </c>
      <c r="L103" s="72" t="s">
        <v>519</v>
      </c>
    </row>
    <row r="104" spans="1:12">
      <c r="A104" s="22">
        <v>54</v>
      </c>
      <c r="B104" s="23" t="s">
        <v>534</v>
      </c>
      <c r="C104" s="22" t="s">
        <v>526</v>
      </c>
      <c r="D104" s="22" t="s">
        <v>31</v>
      </c>
      <c r="E104" s="22" t="s">
        <v>220</v>
      </c>
      <c r="F104" s="22" t="s">
        <v>16</v>
      </c>
      <c r="G104" s="46">
        <v>0</v>
      </c>
      <c r="H104" s="75" t="s">
        <v>411</v>
      </c>
      <c r="I104" s="75" t="s">
        <v>325</v>
      </c>
      <c r="J104" s="22">
        <v>1</v>
      </c>
      <c r="K104" s="72" t="s">
        <v>535</v>
      </c>
      <c r="L104" s="72" t="s">
        <v>536</v>
      </c>
    </row>
    <row r="105" spans="1:12">
      <c r="A105" s="22">
        <v>55</v>
      </c>
      <c r="B105" s="23" t="s">
        <v>537</v>
      </c>
      <c r="C105" s="22" t="s">
        <v>526</v>
      </c>
      <c r="D105" s="22" t="s">
        <v>34</v>
      </c>
      <c r="E105" s="22" t="s">
        <v>220</v>
      </c>
      <c r="F105" s="22" t="s">
        <v>16</v>
      </c>
      <c r="G105" s="46">
        <v>0</v>
      </c>
      <c r="H105" s="75" t="s">
        <v>411</v>
      </c>
      <c r="I105" s="75" t="s">
        <v>325</v>
      </c>
      <c r="J105" s="22">
        <v>1</v>
      </c>
      <c r="K105" s="72" t="s">
        <v>538</v>
      </c>
      <c r="L105" s="72" t="s">
        <v>536</v>
      </c>
    </row>
    <row r="106" spans="1:12">
      <c r="A106" s="22">
        <v>56</v>
      </c>
      <c r="B106" s="23" t="s">
        <v>539</v>
      </c>
      <c r="C106" s="22" t="s">
        <v>526</v>
      </c>
      <c r="D106" s="22" t="s">
        <v>37</v>
      </c>
      <c r="E106" s="22" t="s">
        <v>220</v>
      </c>
      <c r="F106" s="22" t="s">
        <v>16</v>
      </c>
      <c r="G106" s="46">
        <v>0</v>
      </c>
      <c r="H106" s="75" t="s">
        <v>411</v>
      </c>
      <c r="I106" s="75" t="s">
        <v>325</v>
      </c>
      <c r="J106" s="22">
        <v>1</v>
      </c>
      <c r="K106" s="72" t="s">
        <v>540</v>
      </c>
      <c r="L106" s="72" t="s">
        <v>536</v>
      </c>
    </row>
    <row r="107" spans="1:12">
      <c r="A107" s="22">
        <v>57</v>
      </c>
      <c r="B107" s="32" t="s">
        <v>541</v>
      </c>
      <c r="C107" s="22" t="s">
        <v>526</v>
      </c>
      <c r="D107" s="22" t="s">
        <v>39</v>
      </c>
      <c r="E107" s="22" t="s">
        <v>220</v>
      </c>
      <c r="F107" s="22" t="s">
        <v>16</v>
      </c>
      <c r="G107" s="46">
        <v>0</v>
      </c>
      <c r="H107" s="75" t="s">
        <v>542</v>
      </c>
      <c r="I107" s="75" t="s">
        <v>325</v>
      </c>
      <c r="J107" s="22">
        <v>1</v>
      </c>
      <c r="K107" s="72" t="s">
        <v>543</v>
      </c>
      <c r="L107" s="72" t="s">
        <v>544</v>
      </c>
    </row>
    <row r="108" spans="1:12">
      <c r="A108" s="22">
        <v>58</v>
      </c>
      <c r="B108" s="23" t="s">
        <v>545</v>
      </c>
      <c r="C108" s="22" t="s">
        <v>526</v>
      </c>
      <c r="D108" s="22" t="s">
        <v>40</v>
      </c>
      <c r="E108" s="22" t="s">
        <v>220</v>
      </c>
      <c r="F108" s="22" t="s">
        <v>16</v>
      </c>
      <c r="G108" s="46">
        <v>0</v>
      </c>
      <c r="H108" s="75" t="s">
        <v>451</v>
      </c>
      <c r="I108" s="75" t="s">
        <v>325</v>
      </c>
      <c r="J108" s="22">
        <v>1</v>
      </c>
      <c r="K108" s="72" t="s">
        <v>546</v>
      </c>
      <c r="L108" s="72" t="s">
        <v>547</v>
      </c>
    </row>
    <row r="109" spans="1:12">
      <c r="A109" s="22">
        <v>59</v>
      </c>
      <c r="B109" s="31" t="s">
        <v>548</v>
      </c>
      <c r="C109" s="22" t="s">
        <v>526</v>
      </c>
      <c r="D109" s="22" t="s">
        <v>41</v>
      </c>
      <c r="E109" s="22" t="s">
        <v>220</v>
      </c>
      <c r="F109" s="22" t="s">
        <v>16</v>
      </c>
      <c r="G109" s="46">
        <v>0</v>
      </c>
      <c r="H109" s="75" t="s">
        <v>451</v>
      </c>
      <c r="I109" s="75" t="s">
        <v>325</v>
      </c>
      <c r="J109" s="22">
        <v>1</v>
      </c>
      <c r="K109" s="72" t="s">
        <v>549</v>
      </c>
      <c r="L109" s="72" t="s">
        <v>550</v>
      </c>
    </row>
    <row r="110" spans="1:12">
      <c r="A110" s="22">
        <v>60</v>
      </c>
      <c r="B110" s="31" t="s">
        <v>38</v>
      </c>
      <c r="C110" s="22" t="s">
        <v>526</v>
      </c>
      <c r="D110" s="22" t="s">
        <v>42</v>
      </c>
      <c r="E110" s="22" t="s">
        <v>220</v>
      </c>
      <c r="F110" s="22" t="s">
        <v>16</v>
      </c>
      <c r="G110" s="46">
        <v>0</v>
      </c>
      <c r="H110" s="75"/>
      <c r="I110" s="75"/>
      <c r="J110" s="22"/>
      <c r="K110" s="72" t="s">
        <v>551</v>
      </c>
    </row>
    <row r="111" spans="1:12">
      <c r="A111" s="22">
        <v>61</v>
      </c>
      <c r="B111" s="23" t="s">
        <v>552</v>
      </c>
      <c r="C111" s="22" t="s">
        <v>526</v>
      </c>
      <c r="D111" s="22" t="s">
        <v>43</v>
      </c>
      <c r="E111" s="22" t="s">
        <v>220</v>
      </c>
      <c r="F111" s="22" t="s">
        <v>16</v>
      </c>
      <c r="G111" s="46">
        <v>0</v>
      </c>
      <c r="H111" s="75" t="s">
        <v>451</v>
      </c>
      <c r="I111" s="75" t="s">
        <v>325</v>
      </c>
      <c r="J111" s="22">
        <v>1</v>
      </c>
      <c r="K111" s="72" t="s">
        <v>553</v>
      </c>
      <c r="L111" s="72" t="s">
        <v>554</v>
      </c>
    </row>
    <row r="112" spans="1:12">
      <c r="A112" s="22">
        <v>62</v>
      </c>
      <c r="B112" s="23" t="s">
        <v>555</v>
      </c>
      <c r="C112" s="22" t="s">
        <v>526</v>
      </c>
      <c r="D112" s="22" t="s">
        <v>44</v>
      </c>
      <c r="E112" s="22" t="s">
        <v>220</v>
      </c>
      <c r="F112" s="22" t="s">
        <v>16</v>
      </c>
      <c r="G112" s="46">
        <v>0</v>
      </c>
      <c r="H112" s="75" t="s">
        <v>451</v>
      </c>
      <c r="I112" s="75" t="s">
        <v>325</v>
      </c>
      <c r="J112" s="22">
        <v>1</v>
      </c>
      <c r="K112" s="72" t="s">
        <v>556</v>
      </c>
      <c r="L112" s="72" t="s">
        <v>557</v>
      </c>
    </row>
    <row r="113" spans="1:12">
      <c r="A113" s="22">
        <v>63</v>
      </c>
      <c r="B113" s="23" t="s">
        <v>558</v>
      </c>
      <c r="C113" s="22" t="s">
        <v>526</v>
      </c>
      <c r="D113" s="22" t="s">
        <v>45</v>
      </c>
      <c r="E113" s="22" t="s">
        <v>220</v>
      </c>
      <c r="F113" s="22" t="s">
        <v>16</v>
      </c>
      <c r="G113" s="46">
        <v>0</v>
      </c>
      <c r="H113" s="75" t="s">
        <v>451</v>
      </c>
      <c r="I113" s="75" t="s">
        <v>325</v>
      </c>
      <c r="J113" s="22">
        <v>2</v>
      </c>
      <c r="K113" s="72" t="s">
        <v>559</v>
      </c>
      <c r="L113" s="72" t="s">
        <v>560</v>
      </c>
    </row>
    <row r="114" spans="1:12">
      <c r="A114" s="22">
        <v>64</v>
      </c>
      <c r="B114" s="23" t="s">
        <v>561</v>
      </c>
      <c r="C114" s="22" t="s">
        <v>526</v>
      </c>
      <c r="D114" s="22" t="s">
        <v>46</v>
      </c>
      <c r="E114" s="22" t="s">
        <v>220</v>
      </c>
      <c r="F114" s="22" t="s">
        <v>16</v>
      </c>
      <c r="G114" s="46">
        <v>0</v>
      </c>
      <c r="H114" s="75" t="s">
        <v>451</v>
      </c>
      <c r="I114" s="75" t="s">
        <v>325</v>
      </c>
      <c r="J114" s="22">
        <v>2</v>
      </c>
      <c r="K114" s="72" t="s">
        <v>562</v>
      </c>
      <c r="L114" s="72" t="s">
        <v>563</v>
      </c>
    </row>
    <row r="115" spans="1:12">
      <c r="A115" s="22">
        <v>65</v>
      </c>
      <c r="B115" s="54" t="s">
        <v>564</v>
      </c>
      <c r="C115" s="22" t="s">
        <v>565</v>
      </c>
      <c r="D115" s="22" t="s">
        <v>14</v>
      </c>
      <c r="E115" s="22" t="s">
        <v>220</v>
      </c>
      <c r="F115" s="22" t="s">
        <v>16</v>
      </c>
      <c r="G115" s="46">
        <v>0</v>
      </c>
      <c r="H115" s="75" t="s">
        <v>451</v>
      </c>
      <c r="I115" s="75" t="s">
        <v>325</v>
      </c>
      <c r="J115" s="22">
        <v>1</v>
      </c>
      <c r="K115" s="72" t="s">
        <v>566</v>
      </c>
      <c r="L115" s="72" t="s">
        <v>567</v>
      </c>
    </row>
    <row r="116" spans="1:12">
      <c r="A116" s="22">
        <v>66</v>
      </c>
      <c r="B116" s="54" t="s">
        <v>568</v>
      </c>
      <c r="C116" s="22" t="s">
        <v>565</v>
      </c>
      <c r="D116" s="22" t="s">
        <v>19</v>
      </c>
      <c r="E116" s="22" t="s">
        <v>220</v>
      </c>
      <c r="F116" s="22" t="s">
        <v>16</v>
      </c>
      <c r="G116" s="46">
        <v>0</v>
      </c>
      <c r="H116" s="75" t="s">
        <v>451</v>
      </c>
      <c r="I116" s="75" t="s">
        <v>325</v>
      </c>
      <c r="J116" s="22">
        <v>1</v>
      </c>
      <c r="K116" s="72" t="s">
        <v>569</v>
      </c>
      <c r="L116" s="72" t="s">
        <v>544</v>
      </c>
    </row>
    <row r="117" spans="1:12">
      <c r="A117" s="22">
        <v>67</v>
      </c>
      <c r="B117" s="54" t="s">
        <v>38</v>
      </c>
      <c r="C117" s="22" t="s">
        <v>565</v>
      </c>
      <c r="D117" s="22" t="s">
        <v>22</v>
      </c>
      <c r="E117" s="22" t="s">
        <v>220</v>
      </c>
      <c r="F117" s="22" t="s">
        <v>16</v>
      </c>
      <c r="G117" s="46">
        <v>0</v>
      </c>
      <c r="H117" s="75"/>
      <c r="I117" s="75"/>
      <c r="J117" s="22">
        <v>1</v>
      </c>
      <c r="K117" s="72" t="s">
        <v>570</v>
      </c>
    </row>
    <row r="118" spans="1:12">
      <c r="A118" s="22">
        <v>68</v>
      </c>
      <c r="B118" s="23" t="s">
        <v>571</v>
      </c>
      <c r="C118" s="22" t="s">
        <v>565</v>
      </c>
      <c r="D118" s="22" t="s">
        <v>25</v>
      </c>
      <c r="E118" s="22" t="s">
        <v>220</v>
      </c>
      <c r="F118" s="22" t="s">
        <v>16</v>
      </c>
      <c r="G118" s="46">
        <v>0</v>
      </c>
      <c r="H118" s="75" t="s">
        <v>451</v>
      </c>
      <c r="I118" s="91" t="s">
        <v>322</v>
      </c>
      <c r="J118" s="22">
        <v>1</v>
      </c>
      <c r="K118" s="72" t="s">
        <v>572</v>
      </c>
      <c r="L118" s="72" t="s">
        <v>544</v>
      </c>
    </row>
    <row r="119" spans="1:12">
      <c r="A119" s="22">
        <v>69</v>
      </c>
      <c r="B119" s="54" t="s">
        <v>573</v>
      </c>
      <c r="C119" s="22" t="s">
        <v>565</v>
      </c>
      <c r="D119" s="22" t="s">
        <v>28</v>
      </c>
      <c r="E119" s="22" t="s">
        <v>220</v>
      </c>
      <c r="F119" s="22" t="s">
        <v>16</v>
      </c>
      <c r="G119" s="46">
        <v>0</v>
      </c>
      <c r="H119" s="22"/>
      <c r="I119" s="91" t="s">
        <v>325</v>
      </c>
      <c r="J119" s="22"/>
      <c r="K119" s="72" t="s">
        <v>574</v>
      </c>
      <c r="L119" s="72" t="s">
        <v>575</v>
      </c>
    </row>
    <row r="120" spans="1:12">
      <c r="A120" s="22">
        <v>70</v>
      </c>
      <c r="B120" s="54" t="s">
        <v>576</v>
      </c>
      <c r="C120" s="22" t="s">
        <v>565</v>
      </c>
      <c r="D120" s="22" t="s">
        <v>31</v>
      </c>
      <c r="E120" s="22" t="s">
        <v>220</v>
      </c>
      <c r="F120" s="22" t="s">
        <v>16</v>
      </c>
      <c r="G120" s="46">
        <v>0</v>
      </c>
      <c r="H120" s="22"/>
      <c r="I120" s="91" t="s">
        <v>325</v>
      </c>
      <c r="J120" s="22"/>
      <c r="K120" s="72" t="s">
        <v>577</v>
      </c>
      <c r="L120" s="72" t="s">
        <v>575</v>
      </c>
    </row>
    <row r="121" spans="1:12">
      <c r="A121" s="22">
        <v>71</v>
      </c>
      <c r="B121" s="54" t="s">
        <v>578</v>
      </c>
      <c r="C121" s="22" t="s">
        <v>565</v>
      </c>
      <c r="D121" s="22" t="s">
        <v>34</v>
      </c>
      <c r="E121" s="22" t="s">
        <v>220</v>
      </c>
      <c r="F121" s="22" t="s">
        <v>16</v>
      </c>
      <c r="G121" s="46">
        <v>0</v>
      </c>
      <c r="I121" s="91" t="s">
        <v>325</v>
      </c>
      <c r="J121" s="22"/>
      <c r="K121" s="72" t="s">
        <v>579</v>
      </c>
    </row>
    <row r="122" ht="28" spans="1:12">
      <c r="A122" s="22">
        <v>72</v>
      </c>
      <c r="B122" s="82" t="s">
        <v>580</v>
      </c>
      <c r="C122" s="22" t="s">
        <v>565</v>
      </c>
      <c r="D122" s="22" t="s">
        <v>37</v>
      </c>
      <c r="E122" s="22" t="s">
        <v>220</v>
      </c>
      <c r="F122" s="22" t="s">
        <v>16</v>
      </c>
      <c r="G122" s="46">
        <v>0</v>
      </c>
      <c r="H122" s="75" t="s">
        <v>497</v>
      </c>
      <c r="I122" s="75"/>
      <c r="J122" s="22"/>
      <c r="K122" s="72" t="s">
        <v>581</v>
      </c>
      <c r="L122" s="92" t="s">
        <v>440</v>
      </c>
    </row>
    <row r="123" ht="28" spans="1:12">
      <c r="A123" s="22">
        <v>73</v>
      </c>
      <c r="B123" s="23" t="s">
        <v>582</v>
      </c>
      <c r="C123" s="22" t="s">
        <v>565</v>
      </c>
      <c r="D123" s="22" t="s">
        <v>39</v>
      </c>
      <c r="E123" s="22" t="s">
        <v>220</v>
      </c>
      <c r="F123" s="22" t="s">
        <v>16</v>
      </c>
      <c r="G123" s="46">
        <v>0</v>
      </c>
      <c r="H123" s="75" t="s">
        <v>583</v>
      </c>
      <c r="I123" s="75" t="s">
        <v>325</v>
      </c>
      <c r="J123" s="22"/>
      <c r="K123" s="72" t="s">
        <v>584</v>
      </c>
      <c r="L123" s="92" t="s">
        <v>585</v>
      </c>
    </row>
    <row r="124" ht="28" spans="1:12">
      <c r="A124" s="22">
        <v>74</v>
      </c>
      <c r="B124" s="40" t="s">
        <v>586</v>
      </c>
      <c r="C124" s="22" t="s">
        <v>565</v>
      </c>
      <c r="D124" s="22" t="s">
        <v>40</v>
      </c>
      <c r="E124" s="22" t="s">
        <v>220</v>
      </c>
      <c r="F124" s="22" t="s">
        <v>16</v>
      </c>
      <c r="G124" s="46">
        <v>0</v>
      </c>
      <c r="H124" s="75" t="s">
        <v>451</v>
      </c>
      <c r="I124" s="75" t="s">
        <v>325</v>
      </c>
      <c r="J124" s="22">
        <v>1</v>
      </c>
      <c r="K124" s="72" t="s">
        <v>587</v>
      </c>
      <c r="L124" s="72" t="s">
        <v>588</v>
      </c>
    </row>
    <row r="125" spans="1:12">
      <c r="A125" s="22">
        <v>75</v>
      </c>
      <c r="B125" s="54" t="s">
        <v>589</v>
      </c>
      <c r="C125" s="22" t="s">
        <v>565</v>
      </c>
      <c r="D125" s="22" t="s">
        <v>41</v>
      </c>
      <c r="E125" s="22" t="s">
        <v>220</v>
      </c>
      <c r="F125" s="22" t="s">
        <v>16</v>
      </c>
      <c r="G125" s="46">
        <v>0</v>
      </c>
      <c r="H125" s="75" t="s">
        <v>590</v>
      </c>
      <c r="I125" s="75" t="s">
        <v>325</v>
      </c>
      <c r="J125" s="22"/>
      <c r="K125" s="72" t="s">
        <v>591</v>
      </c>
      <c r="L125" s="72" t="s">
        <v>592</v>
      </c>
    </row>
    <row r="126" spans="1:12">
      <c r="A126" s="22">
        <v>76</v>
      </c>
      <c r="B126" s="25" t="s">
        <v>593</v>
      </c>
      <c r="C126" s="24" t="s">
        <v>565</v>
      </c>
      <c r="D126" s="24" t="s">
        <v>42</v>
      </c>
      <c r="E126" s="24" t="s">
        <v>220</v>
      </c>
      <c r="F126" s="24" t="s">
        <v>16</v>
      </c>
      <c r="G126" s="66">
        <v>0</v>
      </c>
      <c r="H126" s="25"/>
      <c r="I126" s="89"/>
      <c r="J126" s="24"/>
      <c r="K126" s="90" t="s">
        <v>594</v>
      </c>
      <c r="L126" s="93" t="s">
        <v>595</v>
      </c>
    </row>
    <row r="127" spans="1:12">
      <c r="A127" s="22">
        <v>77</v>
      </c>
      <c r="B127" s="23" t="s">
        <v>38</v>
      </c>
      <c r="C127" s="22" t="s">
        <v>565</v>
      </c>
      <c r="D127" s="22" t="s">
        <v>43</v>
      </c>
      <c r="E127" s="22" t="s">
        <v>220</v>
      </c>
      <c r="F127" s="22" t="s">
        <v>16</v>
      </c>
      <c r="G127" s="46">
        <v>0</v>
      </c>
      <c r="H127" s="23"/>
      <c r="I127" s="75"/>
      <c r="J127" s="22"/>
      <c r="K127" s="72" t="s">
        <v>596</v>
      </c>
    </row>
    <row r="128" spans="1:12">
      <c r="A128" s="22">
        <v>78</v>
      </c>
      <c r="B128" s="23" t="s">
        <v>38</v>
      </c>
      <c r="C128" s="22" t="s">
        <v>565</v>
      </c>
      <c r="D128" s="22" t="s">
        <v>44</v>
      </c>
      <c r="E128" s="22" t="s">
        <v>220</v>
      </c>
      <c r="F128" s="22" t="s">
        <v>16</v>
      </c>
      <c r="G128" s="46">
        <v>0</v>
      </c>
      <c r="H128" s="75"/>
      <c r="I128" s="75"/>
      <c r="J128" s="22"/>
      <c r="K128" s="72" t="s">
        <v>597</v>
      </c>
    </row>
    <row r="129" spans="1:12">
      <c r="A129" s="22">
        <v>79</v>
      </c>
      <c r="B129" s="23" t="s">
        <v>38</v>
      </c>
      <c r="C129" s="22" t="s">
        <v>565</v>
      </c>
      <c r="D129" s="22" t="s">
        <v>45</v>
      </c>
      <c r="E129" s="22" t="s">
        <v>220</v>
      </c>
      <c r="F129" s="22" t="s">
        <v>16</v>
      </c>
      <c r="G129" s="46">
        <v>0</v>
      </c>
      <c r="H129" s="75"/>
      <c r="I129" s="75"/>
      <c r="J129" s="22"/>
      <c r="K129" s="72" t="s">
        <v>598</v>
      </c>
    </row>
    <row r="130" spans="1:12">
      <c r="A130" s="22">
        <v>80</v>
      </c>
      <c r="B130" s="23" t="s">
        <v>38</v>
      </c>
      <c r="C130" s="22" t="s">
        <v>565</v>
      </c>
      <c r="D130" s="22" t="s">
        <v>46</v>
      </c>
      <c r="E130" s="22" t="s">
        <v>220</v>
      </c>
      <c r="F130" s="22" t="s">
        <v>16</v>
      </c>
      <c r="G130" s="46">
        <v>0</v>
      </c>
      <c r="H130" s="75"/>
      <c r="I130" s="23"/>
      <c r="J130" s="22"/>
      <c r="K130" s="72" t="s">
        <v>599</v>
      </c>
    </row>
    <row r="131" spans="1:12">
      <c r="A131" s="22">
        <v>81</v>
      </c>
      <c r="B131" s="23" t="s">
        <v>38</v>
      </c>
      <c r="C131" s="22" t="s">
        <v>600</v>
      </c>
      <c r="D131" s="22"/>
      <c r="E131" s="22" t="s">
        <v>220</v>
      </c>
      <c r="F131" s="22" t="s">
        <v>52</v>
      </c>
      <c r="G131" s="46">
        <v>0</v>
      </c>
      <c r="H131" s="23"/>
      <c r="I131" s="23"/>
      <c r="J131" s="22"/>
      <c r="K131" s="72" t="s">
        <v>601</v>
      </c>
    </row>
    <row r="132" spans="1:12">
      <c r="A132" s="22">
        <v>82</v>
      </c>
      <c r="B132" s="23" t="s">
        <v>38</v>
      </c>
      <c r="C132" s="22" t="s">
        <v>602</v>
      </c>
      <c r="D132" s="22"/>
      <c r="E132" s="22" t="s">
        <v>220</v>
      </c>
      <c r="F132" s="22" t="s">
        <v>52</v>
      </c>
      <c r="G132" s="46">
        <v>0</v>
      </c>
      <c r="H132" s="75"/>
      <c r="I132" s="75"/>
      <c r="J132" s="22"/>
      <c r="K132" s="72" t="s">
        <v>603</v>
      </c>
    </row>
    <row r="133" spans="1:12">
      <c r="A133" s="22">
        <v>83</v>
      </c>
      <c r="B133" s="23" t="s">
        <v>604</v>
      </c>
      <c r="C133" s="22" t="s">
        <v>605</v>
      </c>
      <c r="D133" s="22" t="s">
        <v>14</v>
      </c>
      <c r="E133" s="22" t="s">
        <v>220</v>
      </c>
      <c r="F133" s="22" t="s">
        <v>16</v>
      </c>
      <c r="G133" s="46">
        <v>0</v>
      </c>
      <c r="H133" s="75" t="s">
        <v>451</v>
      </c>
      <c r="I133" s="75" t="s">
        <v>325</v>
      </c>
      <c r="J133" s="22">
        <v>1</v>
      </c>
      <c r="K133" s="72" t="s">
        <v>606</v>
      </c>
      <c r="L133" s="23" t="s">
        <v>607</v>
      </c>
    </row>
    <row r="134" spans="1:12">
      <c r="A134" s="22">
        <v>84</v>
      </c>
      <c r="B134" s="23" t="s">
        <v>38</v>
      </c>
      <c r="C134" s="22" t="s">
        <v>605</v>
      </c>
      <c r="D134" s="22" t="s">
        <v>19</v>
      </c>
      <c r="E134" s="22" t="s">
        <v>220</v>
      </c>
      <c r="F134" s="22" t="s">
        <v>16</v>
      </c>
      <c r="G134" s="46">
        <v>0</v>
      </c>
      <c r="H134" s="75"/>
      <c r="I134" s="75"/>
      <c r="J134" s="22"/>
      <c r="K134" s="72" t="s">
        <v>608</v>
      </c>
    </row>
    <row r="135" spans="1:12">
      <c r="A135" s="22">
        <v>85</v>
      </c>
      <c r="B135" s="23" t="s">
        <v>38</v>
      </c>
      <c r="C135" s="22" t="s">
        <v>605</v>
      </c>
      <c r="D135" s="22" t="s">
        <v>22</v>
      </c>
      <c r="E135" s="22" t="s">
        <v>220</v>
      </c>
      <c r="F135" s="22" t="s">
        <v>16</v>
      </c>
      <c r="G135" s="46">
        <v>0</v>
      </c>
      <c r="H135" s="75"/>
      <c r="I135" s="75"/>
      <c r="J135" s="22"/>
      <c r="K135" s="72" t="s">
        <v>609</v>
      </c>
    </row>
    <row r="136" spans="1:12">
      <c r="A136" s="22">
        <v>86</v>
      </c>
      <c r="B136" s="23" t="s">
        <v>38</v>
      </c>
      <c r="C136" s="22" t="s">
        <v>605</v>
      </c>
      <c r="D136" s="22" t="s">
        <v>25</v>
      </c>
      <c r="E136" s="22" t="s">
        <v>220</v>
      </c>
      <c r="F136" s="22" t="s">
        <v>16</v>
      </c>
      <c r="G136" s="46">
        <v>0</v>
      </c>
      <c r="H136" s="75"/>
      <c r="I136" s="75"/>
      <c r="J136" s="22"/>
      <c r="K136" s="72" t="s">
        <v>610</v>
      </c>
    </row>
    <row r="137" spans="1:12">
      <c r="A137" s="22">
        <v>87</v>
      </c>
      <c r="B137" s="23" t="s">
        <v>38</v>
      </c>
      <c r="C137" s="22" t="s">
        <v>605</v>
      </c>
      <c r="D137" s="22" t="s">
        <v>28</v>
      </c>
      <c r="E137" s="22" t="s">
        <v>220</v>
      </c>
      <c r="F137" s="22" t="s">
        <v>16</v>
      </c>
      <c r="G137" s="46">
        <v>0</v>
      </c>
      <c r="H137" s="75"/>
      <c r="I137" s="75"/>
      <c r="J137" s="22"/>
      <c r="K137" s="72" t="s">
        <v>611</v>
      </c>
    </row>
    <row r="138" spans="1:12">
      <c r="A138" s="22">
        <v>88</v>
      </c>
      <c r="B138" s="23" t="s">
        <v>38</v>
      </c>
      <c r="C138" s="22" t="s">
        <v>605</v>
      </c>
      <c r="D138" s="22" t="s">
        <v>31</v>
      </c>
      <c r="E138" s="22" t="s">
        <v>220</v>
      </c>
      <c r="F138" s="22" t="s">
        <v>16</v>
      </c>
      <c r="G138" s="46">
        <v>0</v>
      </c>
      <c r="H138" s="75"/>
      <c r="I138" s="75"/>
      <c r="J138" s="22"/>
      <c r="K138" s="72" t="s">
        <v>612</v>
      </c>
    </row>
    <row r="139" spans="1:12">
      <c r="A139" s="22">
        <v>89</v>
      </c>
      <c r="B139" s="23" t="s">
        <v>38</v>
      </c>
      <c r="C139" s="22" t="s">
        <v>605</v>
      </c>
      <c r="D139" s="22" t="s">
        <v>34</v>
      </c>
      <c r="E139" s="22" t="s">
        <v>220</v>
      </c>
      <c r="F139" s="22" t="s">
        <v>16</v>
      </c>
      <c r="G139" s="46">
        <v>0</v>
      </c>
      <c r="H139" s="75"/>
      <c r="I139" s="75"/>
      <c r="J139" s="22"/>
      <c r="K139" s="72" t="s">
        <v>613</v>
      </c>
    </row>
    <row r="140" spans="1:12">
      <c r="A140" s="22">
        <v>90</v>
      </c>
      <c r="B140" s="23" t="s">
        <v>38</v>
      </c>
      <c r="C140" s="22" t="s">
        <v>605</v>
      </c>
      <c r="D140" s="22" t="s">
        <v>37</v>
      </c>
      <c r="E140" s="22" t="s">
        <v>220</v>
      </c>
      <c r="F140" s="22" t="s">
        <v>16</v>
      </c>
      <c r="G140" s="46">
        <v>0</v>
      </c>
      <c r="H140" s="75"/>
      <c r="I140" s="75"/>
      <c r="J140" s="22"/>
      <c r="K140" s="72" t="s">
        <v>614</v>
      </c>
    </row>
    <row r="141" spans="1:12">
      <c r="A141" s="22">
        <v>91</v>
      </c>
      <c r="B141" s="23" t="s">
        <v>38</v>
      </c>
      <c r="C141" s="22" t="s">
        <v>605</v>
      </c>
      <c r="D141" s="22" t="s">
        <v>39</v>
      </c>
      <c r="E141" s="22" t="s">
        <v>220</v>
      </c>
      <c r="F141" s="22" t="s">
        <v>16</v>
      </c>
      <c r="G141" s="46">
        <v>0</v>
      </c>
      <c r="H141" s="75"/>
      <c r="I141" s="75"/>
      <c r="J141" s="22"/>
      <c r="K141" s="72" t="s">
        <v>615</v>
      </c>
    </row>
    <row r="142" spans="1:12">
      <c r="A142" s="22">
        <v>92</v>
      </c>
      <c r="B142" s="23" t="s">
        <v>38</v>
      </c>
      <c r="C142" s="22" t="s">
        <v>605</v>
      </c>
      <c r="D142" s="22" t="s">
        <v>40</v>
      </c>
      <c r="E142" s="22" t="s">
        <v>220</v>
      </c>
      <c r="F142" s="22" t="s">
        <v>16</v>
      </c>
      <c r="G142" s="46">
        <v>0</v>
      </c>
      <c r="H142" s="75"/>
      <c r="I142" s="75"/>
      <c r="J142" s="22"/>
      <c r="K142" s="72" t="s">
        <v>616</v>
      </c>
    </row>
    <row r="143" spans="1:12">
      <c r="A143" s="22">
        <v>93</v>
      </c>
      <c r="B143" s="23" t="s">
        <v>38</v>
      </c>
      <c r="C143" s="22" t="s">
        <v>605</v>
      </c>
      <c r="D143" s="22" t="s">
        <v>41</v>
      </c>
      <c r="E143" s="22" t="s">
        <v>220</v>
      </c>
      <c r="F143" s="22" t="s">
        <v>16</v>
      </c>
      <c r="G143" s="46">
        <v>0</v>
      </c>
      <c r="H143" s="75"/>
      <c r="I143" s="75"/>
      <c r="J143" s="22"/>
      <c r="K143" s="72" t="s">
        <v>617</v>
      </c>
    </row>
    <row r="144" spans="1:12">
      <c r="A144" s="22">
        <v>94</v>
      </c>
      <c r="B144" s="23" t="s">
        <v>38</v>
      </c>
      <c r="C144" s="22" t="s">
        <v>605</v>
      </c>
      <c r="D144" s="22" t="s">
        <v>42</v>
      </c>
      <c r="E144" s="22" t="s">
        <v>220</v>
      </c>
      <c r="F144" s="22" t="s">
        <v>16</v>
      </c>
      <c r="G144" s="46">
        <v>0</v>
      </c>
      <c r="H144" s="75"/>
      <c r="I144" s="75"/>
      <c r="J144" s="22"/>
      <c r="K144" s="72" t="s">
        <v>618</v>
      </c>
    </row>
    <row r="145" spans="1:12">
      <c r="A145" s="22">
        <v>95</v>
      </c>
      <c r="B145" s="23" t="s">
        <v>38</v>
      </c>
      <c r="C145" s="22" t="s">
        <v>605</v>
      </c>
      <c r="D145" s="22" t="s">
        <v>43</v>
      </c>
      <c r="E145" s="22" t="s">
        <v>220</v>
      </c>
      <c r="F145" s="22" t="s">
        <v>16</v>
      </c>
      <c r="G145" s="46">
        <v>0</v>
      </c>
      <c r="H145" s="75"/>
      <c r="I145" s="75"/>
      <c r="J145" s="22"/>
      <c r="K145" s="72" t="s">
        <v>619</v>
      </c>
    </row>
    <row r="146" spans="1:12">
      <c r="A146" s="22">
        <v>96</v>
      </c>
      <c r="B146" s="23" t="s">
        <v>38</v>
      </c>
      <c r="C146" s="22" t="s">
        <v>605</v>
      </c>
      <c r="D146" s="22" t="s">
        <v>44</v>
      </c>
      <c r="E146" s="22" t="s">
        <v>220</v>
      </c>
      <c r="F146" s="22" t="s">
        <v>16</v>
      </c>
      <c r="G146" s="46">
        <v>0</v>
      </c>
      <c r="H146" s="75"/>
      <c r="I146" s="75"/>
      <c r="J146" s="22"/>
      <c r="K146" s="72" t="s">
        <v>620</v>
      </c>
    </row>
    <row r="147" spans="1:12">
      <c r="A147" s="22">
        <v>97</v>
      </c>
      <c r="B147" s="23" t="s">
        <v>621</v>
      </c>
      <c r="C147" s="22" t="s">
        <v>605</v>
      </c>
      <c r="D147" s="22" t="s">
        <v>45</v>
      </c>
      <c r="E147" s="22" t="s">
        <v>220</v>
      </c>
      <c r="F147" s="22" t="s">
        <v>16</v>
      </c>
      <c r="G147" s="46">
        <v>0</v>
      </c>
      <c r="H147" s="75" t="s">
        <v>451</v>
      </c>
      <c r="I147" s="75" t="s">
        <v>325</v>
      </c>
      <c r="J147" s="22">
        <v>1</v>
      </c>
      <c r="K147" s="72" t="s">
        <v>622</v>
      </c>
      <c r="L147" s="23" t="s">
        <v>623</v>
      </c>
    </row>
    <row r="148" spans="1:12">
      <c r="A148" s="22">
        <v>98</v>
      </c>
      <c r="B148" s="23" t="s">
        <v>38</v>
      </c>
      <c r="C148" s="22" t="s">
        <v>605</v>
      </c>
      <c r="D148" s="22" t="s">
        <v>46</v>
      </c>
      <c r="E148" s="22" t="s">
        <v>220</v>
      </c>
      <c r="F148" s="22" t="s">
        <v>16</v>
      </c>
      <c r="G148" s="46">
        <v>0</v>
      </c>
      <c r="H148" s="75"/>
      <c r="I148" s="75"/>
      <c r="J148" s="22"/>
      <c r="K148" s="72" t="s">
        <v>624</v>
      </c>
    </row>
    <row r="149" ht="18.5" customHeight="1" spans="1:12">
      <c r="A149" s="22">
        <v>99</v>
      </c>
      <c r="B149" s="23" t="s">
        <v>38</v>
      </c>
      <c r="C149" s="22" t="s">
        <v>625</v>
      </c>
      <c r="D149" s="22"/>
      <c r="E149" s="22" t="s">
        <v>220</v>
      </c>
      <c r="F149" s="26" t="s">
        <v>52</v>
      </c>
      <c r="G149" s="46">
        <v>0</v>
      </c>
      <c r="H149" s="75"/>
      <c r="I149" s="75"/>
      <c r="J149" s="22"/>
      <c r="K149" s="72" t="s">
        <v>626</v>
      </c>
    </row>
    <row r="150" ht="18.5" customHeight="1" spans="1:12">
      <c r="A150" s="22">
        <v>100</v>
      </c>
      <c r="B150" s="54" t="s">
        <v>38</v>
      </c>
      <c r="C150" s="22" t="s">
        <v>627</v>
      </c>
      <c r="D150" s="22"/>
      <c r="E150" s="22" t="s">
        <v>220</v>
      </c>
      <c r="F150" s="26" t="s">
        <v>52</v>
      </c>
      <c r="G150" s="46">
        <v>0</v>
      </c>
      <c r="H150" s="23"/>
      <c r="I150" s="75"/>
      <c r="J150" s="22"/>
      <c r="K150" s="94" t="s">
        <v>628</v>
      </c>
    </row>
    <row r="151" ht="18.5" customHeight="1" spans="1:12">
      <c r="A151" s="22">
        <v>101</v>
      </c>
      <c r="B151" s="54" t="s">
        <v>629</v>
      </c>
      <c r="C151" s="46" t="s">
        <v>630</v>
      </c>
      <c r="D151" s="22" t="s">
        <v>14</v>
      </c>
      <c r="E151" s="22" t="s">
        <v>220</v>
      </c>
      <c r="F151" s="22" t="s">
        <v>16</v>
      </c>
      <c r="G151" s="46">
        <v>0</v>
      </c>
      <c r="H151" s="75" t="s">
        <v>542</v>
      </c>
      <c r="I151" s="75" t="s">
        <v>325</v>
      </c>
      <c r="J151" s="22">
        <v>1</v>
      </c>
      <c r="K151" s="72" t="s">
        <v>631</v>
      </c>
      <c r="L151" s="23" t="s">
        <v>632</v>
      </c>
    </row>
    <row r="152" ht="35" customHeight="1" spans="1:12">
      <c r="A152" s="22">
        <v>102</v>
      </c>
      <c r="B152" s="54" t="s">
        <v>633</v>
      </c>
      <c r="C152" s="46" t="s">
        <v>630</v>
      </c>
      <c r="D152" s="22" t="s">
        <v>19</v>
      </c>
      <c r="E152" s="22" t="s">
        <v>220</v>
      </c>
      <c r="F152" s="22" t="s">
        <v>16</v>
      </c>
      <c r="G152" s="46">
        <v>0</v>
      </c>
      <c r="H152" s="75" t="s">
        <v>634</v>
      </c>
      <c r="I152" s="75" t="s">
        <v>325</v>
      </c>
      <c r="J152" s="22">
        <v>1</v>
      </c>
      <c r="K152" s="72" t="s">
        <v>635</v>
      </c>
      <c r="L152" s="23" t="s">
        <v>636</v>
      </c>
    </row>
    <row r="153" ht="18.5" customHeight="1" spans="1:12">
      <c r="A153" s="22">
        <v>103</v>
      </c>
      <c r="B153" s="54" t="s">
        <v>637</v>
      </c>
      <c r="C153" s="46" t="s">
        <v>630</v>
      </c>
      <c r="D153" s="22" t="s">
        <v>22</v>
      </c>
      <c r="E153" s="22" t="s">
        <v>220</v>
      </c>
      <c r="F153" s="22" t="s">
        <v>16</v>
      </c>
      <c r="G153" s="46">
        <v>0</v>
      </c>
      <c r="H153" s="75" t="s">
        <v>497</v>
      </c>
      <c r="I153" s="75" t="s">
        <v>325</v>
      </c>
      <c r="J153" s="22">
        <v>3</v>
      </c>
      <c r="K153" s="72" t="s">
        <v>638</v>
      </c>
      <c r="L153" s="23" t="s">
        <v>639</v>
      </c>
    </row>
    <row r="154" ht="28" spans="1:12">
      <c r="A154" s="22">
        <v>104</v>
      </c>
      <c r="B154" s="54" t="s">
        <v>640</v>
      </c>
      <c r="C154" s="46" t="s">
        <v>630</v>
      </c>
      <c r="D154" s="22" t="s">
        <v>25</v>
      </c>
      <c r="E154" s="22" t="s">
        <v>220</v>
      </c>
      <c r="F154" s="22" t="s">
        <v>16</v>
      </c>
      <c r="G154" s="46">
        <v>0</v>
      </c>
      <c r="H154" s="75" t="s">
        <v>641</v>
      </c>
      <c r="I154" s="75" t="s">
        <v>325</v>
      </c>
      <c r="J154" s="22">
        <v>1</v>
      </c>
      <c r="K154" s="72" t="s">
        <v>642</v>
      </c>
      <c r="L154" s="23" t="s">
        <v>643</v>
      </c>
    </row>
    <row r="155" ht="28" spans="1:12">
      <c r="A155" s="22">
        <v>105</v>
      </c>
      <c r="B155" s="54" t="s">
        <v>644</v>
      </c>
      <c r="C155" s="46" t="s">
        <v>630</v>
      </c>
      <c r="D155" s="22" t="s">
        <v>28</v>
      </c>
      <c r="E155" s="22" t="s">
        <v>220</v>
      </c>
      <c r="F155" s="22" t="s">
        <v>16</v>
      </c>
      <c r="G155" s="46">
        <v>0</v>
      </c>
      <c r="H155" s="75" t="s">
        <v>641</v>
      </c>
      <c r="I155" s="75" t="s">
        <v>325</v>
      </c>
      <c r="J155" s="67">
        <v>3</v>
      </c>
      <c r="K155" s="72" t="s">
        <v>645</v>
      </c>
      <c r="L155" s="23" t="s">
        <v>643</v>
      </c>
    </row>
    <row r="156" ht="28" spans="1:12">
      <c r="A156" s="22">
        <v>106</v>
      </c>
      <c r="B156" s="54" t="s">
        <v>646</v>
      </c>
      <c r="C156" s="46" t="s">
        <v>630</v>
      </c>
      <c r="D156" s="22" t="s">
        <v>31</v>
      </c>
      <c r="E156" s="22" t="s">
        <v>220</v>
      </c>
      <c r="F156" s="22" t="s">
        <v>16</v>
      </c>
      <c r="G156" s="46">
        <v>0</v>
      </c>
      <c r="H156" s="75" t="s">
        <v>497</v>
      </c>
      <c r="I156" s="75" t="s">
        <v>325</v>
      </c>
      <c r="J156" s="67">
        <v>3</v>
      </c>
      <c r="K156" s="72" t="s">
        <v>647</v>
      </c>
      <c r="L156" s="23" t="s">
        <v>648</v>
      </c>
    </row>
    <row r="157" spans="1:12">
      <c r="A157" s="22">
        <v>107</v>
      </c>
      <c r="B157" s="54" t="s">
        <v>649</v>
      </c>
      <c r="C157" s="46" t="s">
        <v>630</v>
      </c>
      <c r="D157" s="22" t="s">
        <v>34</v>
      </c>
      <c r="E157" s="22" t="s">
        <v>220</v>
      </c>
      <c r="F157" s="22" t="s">
        <v>16</v>
      </c>
      <c r="G157" s="46">
        <v>0</v>
      </c>
      <c r="H157" s="75" t="s">
        <v>497</v>
      </c>
      <c r="I157" s="75" t="s">
        <v>325</v>
      </c>
      <c r="J157" s="67">
        <v>3</v>
      </c>
      <c r="K157" s="72" t="s">
        <v>650</v>
      </c>
      <c r="L157" s="23" t="s">
        <v>651</v>
      </c>
    </row>
    <row r="158" spans="1:12">
      <c r="A158" s="22">
        <v>108</v>
      </c>
      <c r="B158" s="54" t="s">
        <v>652</v>
      </c>
      <c r="C158" s="46" t="s">
        <v>630</v>
      </c>
      <c r="D158" s="22" t="s">
        <v>37</v>
      </c>
      <c r="E158" s="22" t="s">
        <v>220</v>
      </c>
      <c r="F158" s="22" t="s">
        <v>16</v>
      </c>
      <c r="G158" s="46">
        <v>0</v>
      </c>
      <c r="H158" s="75" t="s">
        <v>497</v>
      </c>
      <c r="I158" s="75" t="s">
        <v>325</v>
      </c>
      <c r="J158" s="67">
        <v>3</v>
      </c>
      <c r="K158" s="72" t="s">
        <v>653</v>
      </c>
      <c r="L158" s="23" t="s">
        <v>654</v>
      </c>
    </row>
    <row r="159" spans="1:12">
      <c r="A159" s="22">
        <v>109</v>
      </c>
      <c r="B159" s="54" t="s">
        <v>655</v>
      </c>
      <c r="C159" s="46" t="s">
        <v>630</v>
      </c>
      <c r="D159" s="22" t="s">
        <v>39</v>
      </c>
      <c r="E159" s="22" t="s">
        <v>220</v>
      </c>
      <c r="F159" s="22" t="s">
        <v>16</v>
      </c>
      <c r="G159" s="46">
        <v>0</v>
      </c>
      <c r="H159" s="75" t="s">
        <v>497</v>
      </c>
      <c r="I159" s="75" t="s">
        <v>325</v>
      </c>
      <c r="J159" s="67">
        <v>3</v>
      </c>
      <c r="K159" s="72" t="s">
        <v>656</v>
      </c>
    </row>
    <row r="160" spans="1:12">
      <c r="A160" s="22">
        <v>110</v>
      </c>
      <c r="B160" s="23" t="s">
        <v>657</v>
      </c>
      <c r="C160" s="46" t="s">
        <v>630</v>
      </c>
      <c r="D160" s="22" t="s">
        <v>40</v>
      </c>
      <c r="E160" s="22" t="s">
        <v>220</v>
      </c>
      <c r="F160" s="22" t="s">
        <v>16</v>
      </c>
      <c r="G160" s="46">
        <v>0</v>
      </c>
      <c r="H160" s="75" t="s">
        <v>497</v>
      </c>
      <c r="I160" s="75" t="s">
        <v>325</v>
      </c>
      <c r="J160" s="67">
        <v>3</v>
      </c>
      <c r="K160" s="72" t="s">
        <v>658</v>
      </c>
      <c r="L160" s="23" t="s">
        <v>659</v>
      </c>
    </row>
    <row r="161" spans="1:12">
      <c r="A161" s="22">
        <v>111</v>
      </c>
      <c r="B161" s="23" t="s">
        <v>660</v>
      </c>
      <c r="C161" s="46" t="s">
        <v>630</v>
      </c>
      <c r="D161" s="22" t="s">
        <v>41</v>
      </c>
      <c r="E161" s="22" t="s">
        <v>220</v>
      </c>
      <c r="F161" s="22" t="s">
        <v>16</v>
      </c>
      <c r="G161" s="46">
        <v>0</v>
      </c>
      <c r="H161" s="75" t="s">
        <v>542</v>
      </c>
      <c r="I161" s="75" t="s">
        <v>325</v>
      </c>
      <c r="J161" s="67">
        <v>1</v>
      </c>
      <c r="K161" s="72" t="s">
        <v>661</v>
      </c>
      <c r="L161" s="23" t="s">
        <v>659</v>
      </c>
    </row>
    <row r="162" spans="1:12">
      <c r="A162" s="22">
        <v>112</v>
      </c>
      <c r="B162" s="23" t="s">
        <v>662</v>
      </c>
      <c r="C162" s="46" t="s">
        <v>630</v>
      </c>
      <c r="D162" s="22" t="s">
        <v>42</v>
      </c>
      <c r="E162" s="22" t="s">
        <v>220</v>
      </c>
      <c r="F162" s="22" t="s">
        <v>16</v>
      </c>
      <c r="G162" s="46">
        <v>0</v>
      </c>
      <c r="H162" s="91"/>
      <c r="I162" s="91" t="s">
        <v>325</v>
      </c>
      <c r="J162" s="67"/>
      <c r="K162" s="72" t="s">
        <v>663</v>
      </c>
    </row>
    <row r="163" spans="1:12">
      <c r="A163" s="22">
        <v>113</v>
      </c>
      <c r="B163" s="23" t="s">
        <v>38</v>
      </c>
      <c r="C163" s="46" t="s">
        <v>630</v>
      </c>
      <c r="D163" s="22" t="s">
        <v>43</v>
      </c>
      <c r="E163" s="22" t="s">
        <v>220</v>
      </c>
      <c r="F163" s="22" t="s">
        <v>16</v>
      </c>
      <c r="G163" s="46">
        <v>0</v>
      </c>
      <c r="H163" s="91"/>
      <c r="I163" s="91" t="s">
        <v>325</v>
      </c>
      <c r="J163" s="67"/>
      <c r="K163" s="72" t="s">
        <v>664</v>
      </c>
    </row>
    <row r="164" spans="1:12">
      <c r="A164" s="22">
        <v>114</v>
      </c>
      <c r="B164" s="23" t="s">
        <v>38</v>
      </c>
      <c r="C164" s="46" t="s">
        <v>630</v>
      </c>
      <c r="D164" s="22" t="s">
        <v>44</v>
      </c>
      <c r="E164" s="22" t="s">
        <v>220</v>
      </c>
      <c r="F164" s="22" t="s">
        <v>16</v>
      </c>
      <c r="G164" s="46">
        <v>0</v>
      </c>
      <c r="H164" s="91"/>
      <c r="I164" s="91" t="s">
        <v>325</v>
      </c>
      <c r="J164" s="67"/>
      <c r="K164" s="72" t="s">
        <v>665</v>
      </c>
    </row>
    <row r="165" spans="1:12">
      <c r="A165" s="22">
        <v>115</v>
      </c>
      <c r="B165" s="23" t="s">
        <v>38</v>
      </c>
      <c r="C165" s="46" t="s">
        <v>630</v>
      </c>
      <c r="D165" s="22" t="s">
        <v>45</v>
      </c>
      <c r="E165" s="22" t="s">
        <v>220</v>
      </c>
      <c r="F165" s="22" t="s">
        <v>16</v>
      </c>
      <c r="G165" s="46">
        <v>0</v>
      </c>
      <c r="H165" s="91"/>
      <c r="I165" s="91" t="s">
        <v>325</v>
      </c>
      <c r="J165" s="67"/>
      <c r="K165" s="72" t="s">
        <v>666</v>
      </c>
    </row>
    <row r="166" spans="1:12">
      <c r="A166" s="22">
        <v>116</v>
      </c>
      <c r="B166" s="23" t="s">
        <v>38</v>
      </c>
      <c r="C166" s="46" t="s">
        <v>630</v>
      </c>
      <c r="D166" s="22" t="s">
        <v>46</v>
      </c>
      <c r="E166" s="22" t="s">
        <v>220</v>
      </c>
      <c r="F166" s="22" t="s">
        <v>16</v>
      </c>
      <c r="G166" s="46">
        <v>0</v>
      </c>
      <c r="H166" s="91"/>
      <c r="I166" s="91" t="s">
        <v>325</v>
      </c>
      <c r="J166" s="67"/>
      <c r="K166" s="72" t="s">
        <v>667</v>
      </c>
    </row>
    <row r="167" spans="1:12">
      <c r="A167" s="22">
        <v>117</v>
      </c>
      <c r="B167" s="95" t="s">
        <v>668</v>
      </c>
      <c r="C167" s="46" t="s">
        <v>669</v>
      </c>
      <c r="D167" s="22" t="s">
        <v>14</v>
      </c>
      <c r="E167" s="22" t="s">
        <v>220</v>
      </c>
      <c r="F167" s="22" t="s">
        <v>16</v>
      </c>
      <c r="G167" s="46">
        <v>0</v>
      </c>
      <c r="H167" s="75" t="s">
        <v>542</v>
      </c>
      <c r="I167" s="91" t="s">
        <v>325</v>
      </c>
      <c r="J167" s="67">
        <v>1</v>
      </c>
      <c r="K167" s="72" t="s">
        <v>670</v>
      </c>
      <c r="L167" s="23" t="s">
        <v>671</v>
      </c>
    </row>
    <row r="168" spans="1:12">
      <c r="A168" s="22">
        <v>118</v>
      </c>
      <c r="B168" s="54" t="s">
        <v>672</v>
      </c>
      <c r="C168" s="46" t="s">
        <v>669</v>
      </c>
      <c r="D168" s="22" t="s">
        <v>19</v>
      </c>
      <c r="E168" s="22" t="s">
        <v>220</v>
      </c>
      <c r="F168" s="22" t="s">
        <v>16</v>
      </c>
      <c r="G168" s="46">
        <v>0</v>
      </c>
      <c r="H168" s="75" t="s">
        <v>542</v>
      </c>
      <c r="I168" s="91" t="s">
        <v>325</v>
      </c>
      <c r="J168" s="67">
        <v>1</v>
      </c>
      <c r="K168" s="72" t="s">
        <v>673</v>
      </c>
      <c r="L168" s="23" t="s">
        <v>674</v>
      </c>
    </row>
    <row r="169" spans="1:12">
      <c r="A169" s="22">
        <v>119</v>
      </c>
      <c r="B169" s="54" t="s">
        <v>675</v>
      </c>
      <c r="C169" s="46" t="s">
        <v>669</v>
      </c>
      <c r="D169" s="22" t="s">
        <v>22</v>
      </c>
      <c r="E169" s="22" t="s">
        <v>220</v>
      </c>
      <c r="F169" s="22" t="s">
        <v>16</v>
      </c>
      <c r="G169" s="46">
        <v>0</v>
      </c>
      <c r="H169" s="75" t="s">
        <v>542</v>
      </c>
      <c r="I169" s="91" t="s">
        <v>325</v>
      </c>
      <c r="J169" s="67">
        <v>1</v>
      </c>
      <c r="K169" s="72" t="s">
        <v>676</v>
      </c>
      <c r="L169" s="23" t="s">
        <v>677</v>
      </c>
    </row>
    <row r="170" spans="1:12">
      <c r="A170" s="22">
        <v>120</v>
      </c>
      <c r="B170" s="54" t="s">
        <v>678</v>
      </c>
      <c r="C170" s="46" t="s">
        <v>669</v>
      </c>
      <c r="D170" s="22" t="s">
        <v>25</v>
      </c>
      <c r="E170" s="22" t="s">
        <v>220</v>
      </c>
      <c r="F170" s="22" t="s">
        <v>16</v>
      </c>
      <c r="G170" s="46">
        <v>0</v>
      </c>
      <c r="H170" s="75" t="s">
        <v>542</v>
      </c>
      <c r="I170" s="91" t="s">
        <v>325</v>
      </c>
      <c r="J170" s="67">
        <v>1</v>
      </c>
      <c r="K170" s="72" t="s">
        <v>679</v>
      </c>
      <c r="L170" s="23" t="s">
        <v>680</v>
      </c>
    </row>
    <row r="171" spans="1:12">
      <c r="A171" s="22">
        <v>121</v>
      </c>
      <c r="B171" s="95" t="s">
        <v>681</v>
      </c>
      <c r="C171" s="46" t="s">
        <v>669</v>
      </c>
      <c r="D171" s="22" t="s">
        <v>28</v>
      </c>
      <c r="E171" s="22" t="s">
        <v>220</v>
      </c>
      <c r="F171" s="22" t="s">
        <v>16</v>
      </c>
      <c r="G171" s="46">
        <v>0</v>
      </c>
      <c r="H171" s="75" t="s">
        <v>542</v>
      </c>
      <c r="I171" s="91" t="s">
        <v>325</v>
      </c>
      <c r="J171" s="67">
        <v>3</v>
      </c>
      <c r="K171" s="72" t="s">
        <v>682</v>
      </c>
      <c r="L171" s="23" t="s">
        <v>683</v>
      </c>
    </row>
    <row r="172" spans="1:12">
      <c r="A172" s="22">
        <v>122</v>
      </c>
      <c r="B172" s="54" t="s">
        <v>684</v>
      </c>
      <c r="C172" s="46" t="s">
        <v>669</v>
      </c>
      <c r="D172" s="22" t="s">
        <v>31</v>
      </c>
      <c r="E172" s="22" t="s">
        <v>220</v>
      </c>
      <c r="F172" s="22" t="s">
        <v>16</v>
      </c>
      <c r="G172" s="46">
        <v>0</v>
      </c>
      <c r="H172" s="75" t="s">
        <v>542</v>
      </c>
      <c r="I172" s="91" t="s">
        <v>325</v>
      </c>
      <c r="J172" s="67">
        <v>3</v>
      </c>
      <c r="K172" s="72" t="s">
        <v>685</v>
      </c>
      <c r="L172" s="23" t="s">
        <v>686</v>
      </c>
    </row>
    <row r="173" spans="1:12">
      <c r="A173" s="22">
        <v>123</v>
      </c>
      <c r="B173" s="54" t="s">
        <v>687</v>
      </c>
      <c r="C173" s="46" t="s">
        <v>669</v>
      </c>
      <c r="D173" s="22" t="s">
        <v>34</v>
      </c>
      <c r="E173" s="22" t="s">
        <v>220</v>
      </c>
      <c r="F173" s="22" t="s">
        <v>16</v>
      </c>
      <c r="G173" s="46">
        <v>0</v>
      </c>
      <c r="H173" s="75" t="s">
        <v>542</v>
      </c>
      <c r="I173" s="91" t="s">
        <v>325</v>
      </c>
      <c r="J173" s="67">
        <v>3</v>
      </c>
      <c r="K173" s="72" t="s">
        <v>688</v>
      </c>
      <c r="L173" s="23" t="s">
        <v>689</v>
      </c>
    </row>
    <row r="174" spans="1:12">
      <c r="A174" s="22">
        <v>124</v>
      </c>
      <c r="B174" s="95" t="s">
        <v>690</v>
      </c>
      <c r="C174" s="46" t="s">
        <v>669</v>
      </c>
      <c r="D174" s="22" t="s">
        <v>37</v>
      </c>
      <c r="E174" s="22" t="s">
        <v>220</v>
      </c>
      <c r="F174" s="22" t="s">
        <v>16</v>
      </c>
      <c r="G174" s="46">
        <v>0</v>
      </c>
      <c r="H174" s="75" t="s">
        <v>542</v>
      </c>
      <c r="I174" s="91" t="s">
        <v>325</v>
      </c>
      <c r="J174" s="67">
        <v>1</v>
      </c>
      <c r="K174" s="72" t="s">
        <v>691</v>
      </c>
      <c r="L174" s="23" t="s">
        <v>692</v>
      </c>
    </row>
    <row r="175" spans="1:12">
      <c r="A175" s="22">
        <v>125</v>
      </c>
      <c r="B175" s="23" t="s">
        <v>38</v>
      </c>
      <c r="C175" s="46" t="s">
        <v>669</v>
      </c>
      <c r="D175" s="22" t="s">
        <v>39</v>
      </c>
      <c r="E175" s="22" t="s">
        <v>220</v>
      </c>
      <c r="F175" s="22" t="s">
        <v>16</v>
      </c>
      <c r="G175" s="46">
        <v>0</v>
      </c>
      <c r="J175" s="67"/>
      <c r="K175" s="72" t="s">
        <v>693</v>
      </c>
    </row>
    <row r="176" spans="1:12">
      <c r="A176" s="22">
        <v>126</v>
      </c>
      <c r="B176" s="23" t="s">
        <v>38</v>
      </c>
      <c r="C176" s="46" t="s">
        <v>669</v>
      </c>
      <c r="D176" s="22" t="s">
        <v>40</v>
      </c>
      <c r="E176" s="22" t="s">
        <v>220</v>
      </c>
      <c r="F176" s="22" t="s">
        <v>16</v>
      </c>
      <c r="G176" s="46">
        <v>0</v>
      </c>
      <c r="J176" s="67"/>
      <c r="K176" s="72" t="s">
        <v>694</v>
      </c>
    </row>
    <row r="177" spans="1:11">
      <c r="A177" s="22">
        <v>127</v>
      </c>
      <c r="B177" s="23" t="s">
        <v>38</v>
      </c>
      <c r="C177" s="46" t="s">
        <v>669</v>
      </c>
      <c r="D177" s="22" t="s">
        <v>41</v>
      </c>
      <c r="E177" s="22" t="s">
        <v>220</v>
      </c>
      <c r="F177" s="22" t="s">
        <v>16</v>
      </c>
      <c r="G177" s="46">
        <v>0</v>
      </c>
      <c r="J177" s="67"/>
      <c r="K177" s="72" t="s">
        <v>695</v>
      </c>
    </row>
    <row r="178" spans="1:11">
      <c r="A178" s="22">
        <v>128</v>
      </c>
      <c r="B178" s="23" t="s">
        <v>38</v>
      </c>
      <c r="C178" s="46" t="s">
        <v>669</v>
      </c>
      <c r="D178" s="22" t="s">
        <v>42</v>
      </c>
      <c r="E178" s="22" t="s">
        <v>220</v>
      </c>
      <c r="F178" s="22" t="s">
        <v>16</v>
      </c>
      <c r="G178" s="46">
        <v>0</v>
      </c>
      <c r="J178" s="67"/>
      <c r="K178" s="72" t="s">
        <v>696</v>
      </c>
    </row>
    <row r="179" spans="1:11">
      <c r="A179" s="22">
        <v>129</v>
      </c>
      <c r="B179" s="23" t="s">
        <v>38</v>
      </c>
      <c r="C179" s="46" t="s">
        <v>669</v>
      </c>
      <c r="D179" s="22" t="s">
        <v>43</v>
      </c>
      <c r="E179" s="22" t="s">
        <v>220</v>
      </c>
      <c r="F179" s="22" t="s">
        <v>16</v>
      </c>
      <c r="G179" s="46">
        <v>0</v>
      </c>
      <c r="J179" s="67"/>
      <c r="K179" s="72" t="s">
        <v>697</v>
      </c>
    </row>
    <row r="180" spans="1:11">
      <c r="A180" s="22">
        <v>130</v>
      </c>
      <c r="B180" s="23" t="s">
        <v>38</v>
      </c>
      <c r="C180" s="46" t="s">
        <v>669</v>
      </c>
      <c r="D180" s="22" t="s">
        <v>44</v>
      </c>
      <c r="E180" s="22" t="s">
        <v>220</v>
      </c>
      <c r="F180" s="22" t="s">
        <v>16</v>
      </c>
      <c r="G180" s="46">
        <v>0</v>
      </c>
      <c r="J180" s="67"/>
      <c r="K180" s="72" t="s">
        <v>698</v>
      </c>
    </row>
    <row r="181" spans="1:11">
      <c r="A181" s="22">
        <v>131</v>
      </c>
      <c r="B181" s="23" t="s">
        <v>38</v>
      </c>
      <c r="C181" s="46" t="s">
        <v>669</v>
      </c>
      <c r="D181" s="22" t="s">
        <v>45</v>
      </c>
      <c r="E181" s="22" t="s">
        <v>220</v>
      </c>
      <c r="F181" s="22" t="s">
        <v>16</v>
      </c>
      <c r="G181" s="46">
        <v>0</v>
      </c>
      <c r="J181" s="67"/>
      <c r="K181" s="72" t="s">
        <v>699</v>
      </c>
    </row>
    <row r="182" spans="1:11">
      <c r="A182" s="22">
        <v>132</v>
      </c>
      <c r="B182" s="23" t="s">
        <v>38</v>
      </c>
      <c r="C182" s="46" t="s">
        <v>669</v>
      </c>
      <c r="D182" s="22" t="s">
        <v>46</v>
      </c>
      <c r="E182" s="22" t="s">
        <v>220</v>
      </c>
      <c r="F182" s="22" t="s">
        <v>16</v>
      </c>
      <c r="G182" s="46">
        <v>0</v>
      </c>
      <c r="J182" s="67"/>
      <c r="K182" s="72" t="s">
        <v>700</v>
      </c>
    </row>
    <row r="183" spans="1:11">
      <c r="A183" s="22">
        <v>133</v>
      </c>
      <c r="B183" s="23" t="s">
        <v>38</v>
      </c>
      <c r="C183" s="46" t="s">
        <v>701</v>
      </c>
      <c r="E183" s="22" t="s">
        <v>220</v>
      </c>
      <c r="F183" s="46" t="s">
        <v>52</v>
      </c>
      <c r="G183" s="46">
        <v>0</v>
      </c>
      <c r="K183" s="72" t="s">
        <v>702</v>
      </c>
    </row>
    <row r="185" spans="1:11">
      <c r="A185" s="22"/>
      <c r="D185" s="22"/>
      <c r="E185" s="22"/>
      <c r="F185" s="22"/>
      <c r="G185" s="22"/>
      <c r="J185" s="22"/>
    </row>
    <row r="186" spans="1:11">
      <c r="A186" s="22"/>
      <c r="D186" s="22"/>
      <c r="E186" s="22"/>
      <c r="F186" s="22"/>
      <c r="G186" s="22"/>
      <c r="J186" s="22"/>
    </row>
    <row r="187" spans="1:11">
      <c r="A187" s="22"/>
      <c r="D187" s="22"/>
      <c r="E187" s="22"/>
      <c r="F187" s="22"/>
      <c r="G187" s="22"/>
      <c r="J187" s="22"/>
    </row>
    <row r="188" spans="1:11">
      <c r="A188" s="22"/>
      <c r="D188" s="22"/>
      <c r="E188" s="22"/>
      <c r="F188" s="22"/>
      <c r="G188" s="22"/>
      <c r="J188" s="67"/>
    </row>
    <row r="189" spans="1:11">
      <c r="A189" s="22"/>
      <c r="D189" s="22"/>
      <c r="E189" s="22"/>
      <c r="F189" s="22"/>
      <c r="G189" s="22"/>
      <c r="J189" s="67"/>
    </row>
    <row r="190" spans="1:11">
      <c r="A190" s="22"/>
      <c r="D190" s="22"/>
      <c r="E190" s="22"/>
      <c r="F190" s="22"/>
      <c r="G190" s="22"/>
      <c r="J190" s="67"/>
    </row>
    <row r="191" spans="1:11">
      <c r="A191" s="22"/>
      <c r="D191" s="22"/>
      <c r="E191" s="22"/>
      <c r="F191" s="22"/>
      <c r="G191" s="22"/>
      <c r="J191" s="67"/>
    </row>
    <row r="192" spans="1:11">
      <c r="A192" s="22"/>
      <c r="B192" s="23"/>
      <c r="D192" s="22"/>
      <c r="E192" s="22"/>
      <c r="F192" s="22"/>
      <c r="G192" s="22"/>
      <c r="J192" s="67"/>
    </row>
    <row r="193" spans="1:10">
      <c r="A193" s="22"/>
      <c r="B193" s="23"/>
      <c r="D193" s="22"/>
      <c r="E193" s="22"/>
      <c r="F193" s="22"/>
      <c r="G193" s="22"/>
      <c r="J193" s="67"/>
    </row>
    <row r="194" spans="1:10">
      <c r="A194" s="22"/>
      <c r="B194" s="23"/>
      <c r="D194" s="22"/>
      <c r="E194" s="22"/>
      <c r="F194" s="22"/>
      <c r="G194" s="22"/>
      <c r="J194" s="67"/>
    </row>
    <row r="195" spans="1:10">
      <c r="A195" s="22"/>
      <c r="B195" s="23"/>
      <c r="D195" s="22"/>
      <c r="E195" s="22"/>
      <c r="F195" s="22"/>
      <c r="G195" s="22"/>
      <c r="J195" s="67"/>
    </row>
    <row r="196" spans="1:10">
      <c r="A196" s="22"/>
      <c r="B196" s="23"/>
      <c r="D196" s="22"/>
      <c r="E196" s="22"/>
      <c r="F196" s="22"/>
      <c r="G196" s="22"/>
      <c r="J196" s="67"/>
    </row>
    <row r="197" spans="1:10">
      <c r="A197" s="22"/>
      <c r="B197" s="23"/>
      <c r="D197" s="22"/>
      <c r="E197" s="22"/>
      <c r="F197" s="22"/>
      <c r="G197" s="22"/>
      <c r="J197" s="67"/>
    </row>
    <row r="198" spans="1:10">
      <c r="A198" s="22"/>
      <c r="B198" s="23"/>
      <c r="D198" s="22"/>
      <c r="E198" s="22"/>
      <c r="F198" s="22"/>
      <c r="G198" s="22"/>
      <c r="J198" s="67"/>
    </row>
    <row r="199" spans="1:10">
      <c r="A199" s="22"/>
      <c r="D199" s="22"/>
      <c r="E199" s="22"/>
      <c r="F199" s="22"/>
      <c r="G199" s="22"/>
      <c r="J199" s="67"/>
    </row>
    <row r="200" ht="18.5" customHeight="1" spans="1:10">
      <c r="A200" s="22"/>
      <c r="D200" s="22"/>
      <c r="E200" s="22"/>
      <c r="F200" s="22"/>
      <c r="G200" s="22"/>
      <c r="J200" s="67"/>
    </row>
    <row r="201" ht="18.5" customHeight="1" spans="1:10">
      <c r="A201" s="22"/>
      <c r="D201" s="22"/>
      <c r="E201" s="22"/>
      <c r="F201" s="22"/>
      <c r="G201" s="22"/>
      <c r="J201" s="67"/>
    </row>
    <row r="202" ht="18.5" customHeight="1" spans="1:10">
      <c r="A202" s="22"/>
      <c r="D202" s="22"/>
      <c r="E202" s="22"/>
      <c r="F202" s="22"/>
      <c r="G202" s="22"/>
      <c r="J202" s="67"/>
    </row>
    <row r="203" ht="18.5" customHeight="1" spans="1:10">
      <c r="A203" s="22"/>
      <c r="D203" s="22"/>
      <c r="E203" s="22"/>
      <c r="F203" s="22"/>
      <c r="G203" s="22"/>
      <c r="J203" s="67"/>
    </row>
    <row r="204" ht="18.5" customHeight="1" spans="1:10">
      <c r="A204" s="22"/>
      <c r="D204" s="22"/>
      <c r="E204" s="22"/>
      <c r="F204" s="22"/>
      <c r="G204" s="22"/>
      <c r="J204" s="67"/>
    </row>
    <row r="205" ht="18.5" customHeight="1" spans="1:10">
      <c r="A205" s="22"/>
      <c r="D205" s="22"/>
      <c r="E205" s="22"/>
      <c r="F205" s="22"/>
      <c r="G205" s="22"/>
      <c r="J205" s="67"/>
    </row>
    <row r="206" ht="18.5" customHeight="1" spans="1:10">
      <c r="A206" s="22"/>
      <c r="B206" s="95"/>
      <c r="D206" s="22"/>
      <c r="E206" s="22"/>
      <c r="F206" s="22"/>
      <c r="G206" s="22"/>
      <c r="J206" s="67"/>
    </row>
    <row r="207" ht="18.5" customHeight="1" spans="1:10">
      <c r="A207" s="22"/>
      <c r="D207" s="22"/>
      <c r="E207" s="22"/>
      <c r="F207" s="22"/>
      <c r="G207" s="22"/>
      <c r="J207" s="67"/>
    </row>
    <row r="208" ht="18.5" customHeight="1" spans="1:10">
      <c r="A208" s="22"/>
      <c r="B208" s="23"/>
      <c r="D208" s="22"/>
      <c r="E208" s="22"/>
      <c r="F208" s="22"/>
      <c r="G208" s="22"/>
      <c r="J208" s="67"/>
    </row>
    <row r="209" ht="18.5" customHeight="1" spans="1:11">
      <c r="A209" s="22"/>
      <c r="B209" s="23"/>
      <c r="D209" s="22"/>
      <c r="E209" s="22"/>
      <c r="F209" s="22"/>
      <c r="G209" s="22"/>
      <c r="J209" s="67"/>
    </row>
    <row r="210" ht="18.5" customHeight="1" spans="1:11">
      <c r="A210" s="22"/>
      <c r="B210" s="23"/>
      <c r="D210" s="22"/>
      <c r="E210" s="22"/>
      <c r="F210" s="22"/>
      <c r="G210" s="22"/>
      <c r="J210" s="67"/>
    </row>
    <row r="211" ht="18.5" customHeight="1" spans="1:11">
      <c r="A211" s="22"/>
      <c r="D211" s="22"/>
      <c r="E211" s="22"/>
      <c r="F211" s="22"/>
      <c r="G211" s="22"/>
      <c r="J211" s="67"/>
      <c r="K211" s="54"/>
    </row>
    <row r="212" ht="18.5" customHeight="1" spans="1:11">
      <c r="A212" s="22"/>
      <c r="D212" s="22"/>
      <c r="E212" s="22"/>
      <c r="F212" s="22"/>
      <c r="G212" s="22"/>
      <c r="J212" s="67"/>
      <c r="K212" s="54"/>
    </row>
    <row r="213" ht="18.5" customHeight="1" spans="1:11">
      <c r="A213" s="22"/>
      <c r="D213" s="22"/>
      <c r="E213" s="22"/>
      <c r="F213" s="22"/>
      <c r="G213" s="22"/>
      <c r="J213" s="67"/>
      <c r="K213" s="54"/>
    </row>
    <row r="214" spans="1:11">
      <c r="A214" s="22"/>
      <c r="D214" s="22"/>
      <c r="E214" s="22"/>
      <c r="F214" s="22"/>
      <c r="G214" s="22"/>
      <c r="J214" s="67"/>
      <c r="K214" s="54"/>
    </row>
    <row r="215" spans="1:11">
      <c r="A215" s="22"/>
      <c r="B215" s="95"/>
      <c r="D215" s="22"/>
      <c r="E215" s="22"/>
      <c r="F215" s="22"/>
      <c r="G215" s="22"/>
      <c r="J215" s="67"/>
      <c r="K215" s="95"/>
    </row>
    <row r="216" spans="1:11">
      <c r="D216" s="22"/>
      <c r="E216" s="22"/>
      <c r="F216" s="22"/>
      <c r="G216" s="22"/>
      <c r="J216" s="67"/>
      <c r="K216" s="54"/>
    </row>
    <row r="217" spans="1:11">
      <c r="D217" s="22"/>
      <c r="E217" s="22"/>
      <c r="F217" s="22"/>
      <c r="G217" s="22"/>
      <c r="J217" s="67"/>
      <c r="K217" s="54"/>
    </row>
    <row r="218" spans="1:11">
      <c r="D218" s="22"/>
      <c r="E218" s="22"/>
      <c r="F218" s="22"/>
      <c r="G218" s="22"/>
      <c r="J218" s="67"/>
      <c r="K218" s="54"/>
    </row>
    <row r="219" spans="1:11">
      <c r="D219" s="22"/>
      <c r="E219" s="22"/>
      <c r="F219" s="22"/>
      <c r="G219" s="22"/>
      <c r="J219" s="67"/>
      <c r="K219" s="54"/>
    </row>
    <row r="220" spans="1:11">
      <c r="B220" s="95"/>
      <c r="D220" s="22"/>
      <c r="E220" s="22"/>
      <c r="F220" s="22"/>
      <c r="G220" s="22"/>
      <c r="J220" s="67"/>
      <c r="K220" s="95"/>
    </row>
    <row r="226" spans="12:12">
      <c r="L226" s="46"/>
    </row>
    <row r="227" spans="12:12">
      <c r="L227" s="46"/>
    </row>
    <row r="228" spans="12:12">
      <c r="L228" s="46"/>
    </row>
    <row r="229" spans="12:12">
      <c r="L229" s="46"/>
    </row>
    <row r="230" spans="12:12">
      <c r="L230" s="46"/>
    </row>
    <row r="231" spans="12:12">
      <c r="L231" s="46"/>
    </row>
    <row r="232" spans="12:12">
      <c r="L232" s="46"/>
    </row>
    <row r="233" spans="12:12">
      <c r="L233" s="46"/>
    </row>
    <row r="234" spans="12:12">
      <c r="L234" s="46"/>
    </row>
    <row r="235" spans="12:12">
      <c r="L235" s="46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2"/>
  <sheetViews>
    <sheetView tabSelected="1" zoomScale="115" zoomScaleNormal="115" workbookViewId="0">
      <pane ySplit="1" topLeftCell="A13" activePane="bottomLeft" state="frozen"/>
      <selection/>
      <selection pane="bottomLeft" activeCell="I22" sqref="I22"/>
    </sheetView>
  </sheetViews>
  <sheetFormatPr defaultColWidth="8.66666666666667" defaultRowHeight="14"/>
  <cols>
    <col min="1" max="1" width="4.66666666666667" style="48" customWidth="1"/>
    <col min="2" max="2" width="21.5" style="28" customWidth="1"/>
    <col min="7" max="7" width="9.33333333333333" customWidth="1"/>
    <col min="9" max="9" width="21.8333333333333" style="28" customWidth="1"/>
  </cols>
  <sheetData>
    <row r="1" ht="26" customHeight="1" spans="1:10">
      <c r="A1" s="52" t="s">
        <v>4</v>
      </c>
      <c r="B1" s="53" t="s">
        <v>5</v>
      </c>
      <c r="C1" s="52" t="s">
        <v>6</v>
      </c>
      <c r="D1" s="52" t="s">
        <v>8</v>
      </c>
      <c r="E1" s="53" t="s">
        <v>9</v>
      </c>
      <c r="F1" s="53" t="s">
        <v>48</v>
      </c>
      <c r="G1" s="53" t="s">
        <v>10</v>
      </c>
      <c r="H1" s="53" t="s">
        <v>49</v>
      </c>
      <c r="I1" s="53" t="s">
        <v>11</v>
      </c>
    </row>
    <row r="2" ht="84" spans="1:10">
      <c r="A2" s="22">
        <v>1</v>
      </c>
      <c r="B2" s="54" t="s">
        <v>703</v>
      </c>
      <c r="C2" s="46" t="str">
        <f>CONCATENATE("0x",DEC2HEX((A2)+4351,4))</f>
        <v>0x1100</v>
      </c>
      <c r="D2" s="55" t="s">
        <v>15</v>
      </c>
      <c r="E2" s="46" t="s">
        <v>52</v>
      </c>
      <c r="F2" s="55" t="s">
        <v>53</v>
      </c>
      <c r="G2" s="55">
        <v>0</v>
      </c>
      <c r="H2" s="46">
        <v>1</v>
      </c>
      <c r="I2" s="31" t="s">
        <v>704</v>
      </c>
      <c r="J2" s="46"/>
    </row>
    <row r="3" ht="42" spans="1:10">
      <c r="A3" s="22">
        <v>2</v>
      </c>
      <c r="B3" s="54" t="s">
        <v>705</v>
      </c>
      <c r="C3" s="46" t="str">
        <f>CONCATENATE("0x",DEC2HEX((A3)+4351,4))</f>
        <v>0x1101</v>
      </c>
      <c r="D3" s="22" t="s">
        <v>220</v>
      </c>
      <c r="E3" s="46" t="s">
        <v>52</v>
      </c>
      <c r="F3" s="46" t="s">
        <v>706</v>
      </c>
      <c r="G3" s="55">
        <v>0</v>
      </c>
      <c r="H3" s="46">
        <v>1</v>
      </c>
      <c r="I3" s="31" t="s">
        <v>707</v>
      </c>
    </row>
    <row r="4" ht="112" spans="1:10">
      <c r="A4" s="22">
        <v>3</v>
      </c>
      <c r="B4" s="54" t="s">
        <v>708</v>
      </c>
      <c r="C4" s="46" t="str">
        <f t="shared" ref="C4:C40" si="0">CONCATENATE("0x",DEC2HEX((A4)+4351,4))</f>
        <v>0x1102</v>
      </c>
      <c r="D4" s="22" t="s">
        <v>15</v>
      </c>
      <c r="E4" s="46" t="s">
        <v>52</v>
      </c>
      <c r="F4" s="46" t="s">
        <v>117</v>
      </c>
      <c r="G4" s="46">
        <v>0</v>
      </c>
      <c r="H4" s="46">
        <v>1</v>
      </c>
      <c r="I4" s="31" t="s">
        <v>709</v>
      </c>
    </row>
    <row r="5" ht="56" spans="1:10">
      <c r="A5" s="22">
        <v>4</v>
      </c>
      <c r="B5" s="54" t="s">
        <v>710</v>
      </c>
      <c r="C5" s="46" t="str">
        <f t="shared" si="0"/>
        <v>0x1103</v>
      </c>
      <c r="D5" s="22" t="s">
        <v>15</v>
      </c>
      <c r="E5" s="56" t="s">
        <v>52</v>
      </c>
      <c r="F5" s="46" t="s">
        <v>260</v>
      </c>
      <c r="G5" s="46">
        <v>0</v>
      </c>
      <c r="H5" s="46">
        <v>1</v>
      </c>
      <c r="I5" s="31" t="s">
        <v>711</v>
      </c>
    </row>
    <row r="6" spans="1:10">
      <c r="A6" s="22">
        <v>5</v>
      </c>
      <c r="B6" s="54" t="s">
        <v>712</v>
      </c>
      <c r="C6" s="46" t="str">
        <f t="shared" si="0"/>
        <v>0x1104</v>
      </c>
      <c r="D6" s="57" t="s">
        <v>15</v>
      </c>
      <c r="E6" s="46" t="s">
        <v>52</v>
      </c>
      <c r="F6" s="46" t="s">
        <v>713</v>
      </c>
      <c r="G6" s="46">
        <v>0</v>
      </c>
      <c r="H6" s="46">
        <v>1</v>
      </c>
      <c r="I6" s="31" t="s">
        <v>714</v>
      </c>
    </row>
    <row r="7" ht="28" spans="1:10">
      <c r="A7" s="22">
        <v>6</v>
      </c>
      <c r="B7" s="58" t="s">
        <v>715</v>
      </c>
      <c r="C7" s="46" t="str">
        <f t="shared" si="0"/>
        <v>0x1105</v>
      </c>
      <c r="D7" s="57" t="s">
        <v>15</v>
      </c>
      <c r="E7" s="46" t="s">
        <v>52</v>
      </c>
      <c r="F7" s="46" t="s">
        <v>100</v>
      </c>
      <c r="G7" s="46">
        <v>0</v>
      </c>
      <c r="H7" s="46">
        <v>1</v>
      </c>
      <c r="I7" s="31" t="s">
        <v>716</v>
      </c>
    </row>
    <row r="8" spans="1:10">
      <c r="A8" s="22">
        <v>7</v>
      </c>
      <c r="B8" s="54" t="s">
        <v>717</v>
      </c>
      <c r="C8" s="46" t="str">
        <f t="shared" si="0"/>
        <v>0x1106</v>
      </c>
      <c r="D8" s="57" t="s">
        <v>15</v>
      </c>
      <c r="E8" s="46" t="s">
        <v>52</v>
      </c>
      <c r="F8" s="46" t="s">
        <v>298</v>
      </c>
      <c r="G8" s="46">
        <v>0</v>
      </c>
      <c r="H8" s="46" t="s">
        <v>718</v>
      </c>
      <c r="I8" s="54"/>
    </row>
    <row r="9" spans="1:10">
      <c r="A9" s="22">
        <v>8</v>
      </c>
      <c r="B9" s="29" t="s">
        <v>719</v>
      </c>
      <c r="C9" s="46" t="str">
        <f t="shared" si="0"/>
        <v>0x1107</v>
      </c>
      <c r="D9" s="57" t="s">
        <v>15</v>
      </c>
      <c r="E9" s="46" t="s">
        <v>52</v>
      </c>
      <c r="F9" s="46">
        <v>0</v>
      </c>
      <c r="G9" s="46">
        <v>0</v>
      </c>
      <c r="H9" s="46">
        <v>1</v>
      </c>
      <c r="I9" s="54" t="s">
        <v>38</v>
      </c>
    </row>
    <row r="10" ht="168" spans="1:10">
      <c r="A10" s="22">
        <v>9</v>
      </c>
      <c r="B10" s="54" t="s">
        <v>720</v>
      </c>
      <c r="C10" s="46" t="str">
        <f t="shared" si="0"/>
        <v>0x1108</v>
      </c>
      <c r="D10" s="57" t="s">
        <v>15</v>
      </c>
      <c r="E10" s="46" t="s">
        <v>52</v>
      </c>
      <c r="F10" s="46" t="s">
        <v>721</v>
      </c>
      <c r="G10" s="46">
        <v>8</v>
      </c>
      <c r="H10" s="46">
        <v>1</v>
      </c>
      <c r="I10" s="31" t="s">
        <v>722</v>
      </c>
    </row>
    <row r="11" spans="1:10">
      <c r="A11" s="22">
        <v>10</v>
      </c>
      <c r="B11" s="54" t="s">
        <v>723</v>
      </c>
      <c r="C11" s="46" t="str">
        <f t="shared" si="0"/>
        <v>0x1109</v>
      </c>
      <c r="D11" s="57" t="s">
        <v>220</v>
      </c>
      <c r="E11" s="46" t="s">
        <v>52</v>
      </c>
      <c r="F11" s="46" t="s">
        <v>149</v>
      </c>
      <c r="G11" s="46">
        <v>0</v>
      </c>
      <c r="H11" s="46">
        <v>1</v>
      </c>
      <c r="I11" s="54"/>
    </row>
    <row r="12" spans="1:10">
      <c r="A12" s="22">
        <v>11</v>
      </c>
      <c r="B12" s="54" t="s">
        <v>724</v>
      </c>
      <c r="C12" s="46" t="str">
        <f t="shared" si="0"/>
        <v>0x110A</v>
      </c>
      <c r="D12" s="57" t="s">
        <v>220</v>
      </c>
      <c r="E12" s="46" t="s">
        <v>52</v>
      </c>
      <c r="F12" s="46" t="s">
        <v>149</v>
      </c>
      <c r="G12" s="46">
        <v>0</v>
      </c>
      <c r="H12" s="46">
        <v>1</v>
      </c>
      <c r="I12" s="54"/>
    </row>
    <row r="13" spans="1:10">
      <c r="A13" s="22">
        <v>12</v>
      </c>
      <c r="B13" s="54" t="s">
        <v>725</v>
      </c>
      <c r="C13" s="46" t="str">
        <f t="shared" si="0"/>
        <v>0x110B</v>
      </c>
      <c r="D13" s="57" t="s">
        <v>220</v>
      </c>
      <c r="E13" s="46" t="s">
        <v>52</v>
      </c>
      <c r="F13" s="46" t="s">
        <v>149</v>
      </c>
      <c r="G13" s="46">
        <v>0</v>
      </c>
      <c r="H13" s="46">
        <v>1</v>
      </c>
      <c r="I13" s="54"/>
    </row>
    <row r="14" spans="1:10">
      <c r="A14" s="22">
        <v>13</v>
      </c>
      <c r="B14" s="54" t="s">
        <v>726</v>
      </c>
      <c r="C14" s="46" t="str">
        <f t="shared" si="0"/>
        <v>0x110C</v>
      </c>
      <c r="D14" s="57" t="s">
        <v>220</v>
      </c>
      <c r="E14" s="46" t="s">
        <v>52</v>
      </c>
      <c r="F14" s="46" t="s">
        <v>149</v>
      </c>
      <c r="G14" s="46">
        <v>0</v>
      </c>
      <c r="H14" s="46">
        <v>1</v>
      </c>
      <c r="I14" s="54" t="s">
        <v>38</v>
      </c>
    </row>
    <row r="15" spans="1:10">
      <c r="A15" s="22">
        <v>14</v>
      </c>
      <c r="B15" s="54" t="s">
        <v>727</v>
      </c>
      <c r="C15" s="46" t="str">
        <f t="shared" si="0"/>
        <v>0x110D</v>
      </c>
      <c r="D15" s="57" t="s">
        <v>15</v>
      </c>
      <c r="E15" s="46" t="s">
        <v>52</v>
      </c>
      <c r="F15" s="46" t="s">
        <v>149</v>
      </c>
      <c r="G15" s="46">
        <v>192</v>
      </c>
      <c r="H15" s="46">
        <v>1</v>
      </c>
      <c r="I15" s="59" t="s">
        <v>728</v>
      </c>
    </row>
    <row r="16" spans="1:10">
      <c r="A16" s="22">
        <v>15</v>
      </c>
      <c r="B16" s="54" t="s">
        <v>729</v>
      </c>
      <c r="C16" s="46" t="str">
        <f t="shared" si="0"/>
        <v>0x110E</v>
      </c>
      <c r="D16" s="57" t="s">
        <v>15</v>
      </c>
      <c r="E16" s="46" t="s">
        <v>52</v>
      </c>
      <c r="F16" s="46" t="s">
        <v>149</v>
      </c>
      <c r="G16" s="46">
        <v>168</v>
      </c>
      <c r="H16" s="46">
        <v>1</v>
      </c>
      <c r="I16" s="59" t="s">
        <v>728</v>
      </c>
    </row>
    <row r="17" spans="1:21">
      <c r="A17" s="22">
        <v>16</v>
      </c>
      <c r="B17" s="54" t="s">
        <v>730</v>
      </c>
      <c r="C17" s="46" t="str">
        <f t="shared" si="0"/>
        <v>0x110F</v>
      </c>
      <c r="D17" s="57" t="s">
        <v>15</v>
      </c>
      <c r="E17" s="46" t="s">
        <v>52</v>
      </c>
      <c r="F17" s="46" t="s">
        <v>149</v>
      </c>
      <c r="G17" s="46">
        <v>1</v>
      </c>
      <c r="H17" s="46">
        <v>1</v>
      </c>
      <c r="I17" s="59" t="s">
        <v>728</v>
      </c>
    </row>
    <row r="18" spans="1:21">
      <c r="A18" s="22">
        <v>17</v>
      </c>
      <c r="B18" s="54" t="s">
        <v>731</v>
      </c>
      <c r="C18" s="46" t="str">
        <f t="shared" si="0"/>
        <v>0x1110</v>
      </c>
      <c r="D18" s="57" t="s">
        <v>15</v>
      </c>
      <c r="E18" s="55" t="s">
        <v>52</v>
      </c>
      <c r="F18" s="46" t="s">
        <v>149</v>
      </c>
      <c r="G18" s="46">
        <v>10</v>
      </c>
      <c r="H18" s="46">
        <v>1</v>
      </c>
      <c r="I18" s="59" t="s">
        <v>728</v>
      </c>
      <c r="J18" s="46"/>
    </row>
    <row r="19" ht="28" spans="1:21">
      <c r="A19" s="22">
        <v>18</v>
      </c>
      <c r="B19" s="29" t="s">
        <v>732</v>
      </c>
      <c r="C19" s="46" t="str">
        <f t="shared" si="0"/>
        <v>0x1111</v>
      </c>
      <c r="D19" s="57" t="s">
        <v>733</v>
      </c>
      <c r="E19" s="55" t="s">
        <v>221</v>
      </c>
      <c r="F19" s="46" t="s">
        <v>100</v>
      </c>
      <c r="G19" s="46">
        <v>0</v>
      </c>
      <c r="H19" s="46">
        <v>1</v>
      </c>
      <c r="I19" s="31" t="s">
        <v>734</v>
      </c>
      <c r="J19" s="46"/>
      <c r="K19" s="46"/>
      <c r="L19" s="46"/>
      <c r="M19" s="46"/>
    </row>
    <row r="20" ht="28" spans="1:21">
      <c r="A20" s="22">
        <v>19</v>
      </c>
      <c r="B20" s="29" t="s">
        <v>735</v>
      </c>
      <c r="C20" s="46" t="str">
        <f t="shared" si="0"/>
        <v>0x1112</v>
      </c>
      <c r="D20" s="57" t="s">
        <v>733</v>
      </c>
      <c r="E20" s="55" t="s">
        <v>221</v>
      </c>
      <c r="F20" s="46" t="s">
        <v>100</v>
      </c>
      <c r="G20" s="46">
        <v>0</v>
      </c>
      <c r="H20" s="46">
        <v>1</v>
      </c>
      <c r="I20" s="31" t="s">
        <v>736</v>
      </c>
      <c r="J20" s="46"/>
      <c r="K20" s="46"/>
      <c r="L20" s="46"/>
      <c r="M20" s="46"/>
    </row>
    <row r="21" spans="1:21">
      <c r="A21" s="22">
        <v>20</v>
      </c>
      <c r="B21" s="60" t="s">
        <v>737</v>
      </c>
      <c r="C21" s="46" t="str">
        <f t="shared" si="0"/>
        <v>0x1113</v>
      </c>
      <c r="D21" s="57" t="s">
        <v>733</v>
      </c>
      <c r="E21" s="55" t="s">
        <v>221</v>
      </c>
      <c r="F21" s="46" t="s">
        <v>100</v>
      </c>
      <c r="G21" s="46">
        <v>0</v>
      </c>
      <c r="H21" s="46">
        <v>1</v>
      </c>
      <c r="I21" s="31" t="s">
        <v>738</v>
      </c>
      <c r="J21" s="46"/>
      <c r="K21" s="46"/>
      <c r="L21" s="46"/>
      <c r="M21" s="46"/>
    </row>
    <row r="22" ht="140" spans="1:21">
      <c r="A22" s="22">
        <v>21</v>
      </c>
      <c r="B22" s="29" t="s">
        <v>739</v>
      </c>
      <c r="C22" s="46" t="str">
        <f t="shared" si="0"/>
        <v>0x1114</v>
      </c>
      <c r="D22" s="57" t="s">
        <v>733</v>
      </c>
      <c r="E22" s="55" t="s">
        <v>221</v>
      </c>
      <c r="F22" s="46" t="s">
        <v>59</v>
      </c>
      <c r="G22" s="46">
        <v>0</v>
      </c>
      <c r="H22" s="46">
        <v>1</v>
      </c>
      <c r="I22" s="61" t="s">
        <v>740</v>
      </c>
      <c r="J22" s="46"/>
      <c r="K22" s="46"/>
      <c r="L22" s="46"/>
      <c r="M22" s="46"/>
    </row>
    <row r="23" ht="56" spans="1:21">
      <c r="A23" s="22">
        <v>22</v>
      </c>
      <c r="B23" s="29" t="s">
        <v>741</v>
      </c>
      <c r="C23" s="46" t="str">
        <f t="shared" si="0"/>
        <v>0x1115</v>
      </c>
      <c r="D23" s="57" t="s">
        <v>733</v>
      </c>
      <c r="E23" s="55" t="s">
        <v>221</v>
      </c>
      <c r="F23" s="46" t="s">
        <v>59</v>
      </c>
      <c r="G23" s="46">
        <v>0</v>
      </c>
      <c r="H23" s="46">
        <v>1</v>
      </c>
      <c r="I23" s="31" t="s">
        <v>742</v>
      </c>
      <c r="J23" s="46"/>
      <c r="K23" s="46"/>
      <c r="L23" s="46"/>
      <c r="M23" s="46"/>
    </row>
    <row r="24" spans="1:21">
      <c r="A24" s="22">
        <v>23</v>
      </c>
      <c r="B24" s="54" t="s">
        <v>743</v>
      </c>
      <c r="C24" s="46" t="str">
        <f t="shared" si="0"/>
        <v>0x1116</v>
      </c>
      <c r="D24" s="22" t="s">
        <v>15</v>
      </c>
      <c r="E24" s="55" t="s">
        <v>52</v>
      </c>
      <c r="F24" s="46" t="s">
        <v>744</v>
      </c>
      <c r="G24" s="46">
        <v>0</v>
      </c>
      <c r="H24" s="46">
        <v>1</v>
      </c>
      <c r="I24" s="54"/>
      <c r="J24" s="46"/>
      <c r="K24" s="46"/>
      <c r="L24" s="46"/>
      <c r="M24" s="48"/>
      <c r="N24" s="62"/>
    </row>
    <row r="25" spans="1:21">
      <c r="A25" s="22">
        <v>24</v>
      </c>
      <c r="B25" s="54" t="s">
        <v>745</v>
      </c>
      <c r="C25" s="46" t="str">
        <f t="shared" si="0"/>
        <v>0x1117</v>
      </c>
      <c r="D25" s="22" t="s">
        <v>15</v>
      </c>
      <c r="E25" s="46" t="s">
        <v>52</v>
      </c>
      <c r="F25" s="46" t="s">
        <v>746</v>
      </c>
      <c r="G25" s="46">
        <v>0</v>
      </c>
      <c r="H25" s="46">
        <v>1</v>
      </c>
      <c r="I25" s="54"/>
      <c r="J25" s="46"/>
      <c r="K25" s="46"/>
      <c r="L25" s="46"/>
      <c r="M25" s="48"/>
      <c r="N25" s="62"/>
      <c r="O25" s="46"/>
      <c r="P25" s="46"/>
      <c r="Q25" s="57"/>
      <c r="R25" s="46"/>
      <c r="S25" s="46"/>
      <c r="T25" s="46"/>
      <c r="U25" s="46"/>
    </row>
    <row r="26" spans="1:21">
      <c r="A26" s="22">
        <v>25</v>
      </c>
      <c r="B26" s="54" t="s">
        <v>747</v>
      </c>
      <c r="C26" s="46" t="str">
        <f t="shared" si="0"/>
        <v>0x1118</v>
      </c>
      <c r="D26" s="22" t="s">
        <v>15</v>
      </c>
      <c r="E26" s="46" t="s">
        <v>52</v>
      </c>
      <c r="F26" s="46" t="s">
        <v>748</v>
      </c>
      <c r="G26" s="46">
        <v>0</v>
      </c>
      <c r="H26" s="46">
        <v>1</v>
      </c>
      <c r="I26" s="54"/>
      <c r="J26" s="46"/>
      <c r="K26" s="46"/>
      <c r="L26" s="46"/>
      <c r="M26" s="48"/>
      <c r="N26" s="62"/>
      <c r="O26" s="46"/>
      <c r="P26" s="46"/>
      <c r="Q26" s="22"/>
      <c r="R26" s="46"/>
      <c r="S26" s="46"/>
      <c r="T26" s="46"/>
      <c r="U26" s="46"/>
    </row>
    <row r="27" spans="1:21">
      <c r="A27" s="22">
        <v>26</v>
      </c>
      <c r="B27" s="54" t="s">
        <v>749</v>
      </c>
      <c r="C27" s="46" t="str">
        <f t="shared" si="0"/>
        <v>0x1119</v>
      </c>
      <c r="D27" s="22" t="s">
        <v>15</v>
      </c>
      <c r="E27" s="46" t="s">
        <v>52</v>
      </c>
      <c r="F27" s="46" t="s">
        <v>750</v>
      </c>
      <c r="G27" s="46">
        <v>0</v>
      </c>
      <c r="H27" s="46">
        <v>1</v>
      </c>
      <c r="I27" s="54"/>
      <c r="J27" s="46"/>
      <c r="K27" s="46"/>
      <c r="L27" s="46"/>
      <c r="M27" s="48"/>
      <c r="N27" s="62"/>
      <c r="O27" s="46"/>
      <c r="P27" s="46"/>
      <c r="Q27" s="57"/>
      <c r="R27" s="46"/>
      <c r="S27" s="46"/>
      <c r="T27" s="46"/>
      <c r="U27" s="46"/>
    </row>
    <row r="28" spans="1:21">
      <c r="A28" s="22">
        <v>27</v>
      </c>
      <c r="B28" s="54" t="s">
        <v>751</v>
      </c>
      <c r="C28" s="46" t="str">
        <f t="shared" si="0"/>
        <v>0x111A</v>
      </c>
      <c r="D28" s="22" t="s">
        <v>15</v>
      </c>
      <c r="E28" s="56" t="s">
        <v>52</v>
      </c>
      <c r="F28" s="46" t="s">
        <v>752</v>
      </c>
      <c r="G28" s="46">
        <v>0</v>
      </c>
      <c r="H28" s="46">
        <v>1</v>
      </c>
      <c r="I28" s="54"/>
      <c r="J28" s="46"/>
      <c r="K28" s="46"/>
      <c r="L28" s="46"/>
      <c r="M28" s="48"/>
      <c r="N28" s="62"/>
      <c r="O28" s="46"/>
      <c r="P28" s="46"/>
      <c r="Q28" s="57"/>
      <c r="R28" s="46"/>
      <c r="S28" s="46"/>
      <c r="T28" s="46"/>
      <c r="U28" s="46"/>
    </row>
    <row r="29" spans="1:21">
      <c r="A29" s="22">
        <v>28</v>
      </c>
      <c r="B29" s="54" t="s">
        <v>753</v>
      </c>
      <c r="C29" s="46" t="str">
        <f t="shared" si="0"/>
        <v>0x111B</v>
      </c>
      <c r="D29" s="57" t="s">
        <v>15</v>
      </c>
      <c r="E29" s="46" t="s">
        <v>52</v>
      </c>
      <c r="F29" s="46" t="s">
        <v>752</v>
      </c>
      <c r="G29" s="46">
        <v>0</v>
      </c>
      <c r="H29" s="46">
        <v>1</v>
      </c>
      <c r="I29" s="54"/>
      <c r="J29" s="46"/>
      <c r="K29" s="46"/>
      <c r="L29" s="46"/>
      <c r="M29" s="48"/>
      <c r="N29" s="62"/>
      <c r="O29" s="46"/>
      <c r="P29" s="46"/>
      <c r="Q29" s="57"/>
      <c r="R29" s="46"/>
      <c r="S29" s="46"/>
      <c r="T29" s="46"/>
      <c r="U29" s="46"/>
    </row>
    <row r="30" spans="1:21">
      <c r="A30" s="22">
        <v>29</v>
      </c>
      <c r="B30" s="54" t="s">
        <v>754</v>
      </c>
      <c r="C30" s="46" t="str">
        <f t="shared" si="0"/>
        <v>0x111C</v>
      </c>
      <c r="D30" s="57" t="s">
        <v>15</v>
      </c>
      <c r="E30" s="46" t="s">
        <v>52</v>
      </c>
      <c r="F30" s="46" t="s">
        <v>117</v>
      </c>
      <c r="G30" s="22">
        <v>30</v>
      </c>
      <c r="H30" s="46" t="s">
        <v>718</v>
      </c>
      <c r="I30" s="54" t="s">
        <v>755</v>
      </c>
      <c r="J30" s="46"/>
      <c r="K30" s="46"/>
      <c r="L30" s="46"/>
      <c r="M30" s="48"/>
      <c r="N30" s="62"/>
      <c r="O30" s="46"/>
      <c r="P30" s="46"/>
      <c r="Q30" s="57"/>
      <c r="R30" s="46"/>
      <c r="S30" s="46"/>
      <c r="T30" s="46"/>
      <c r="U30" s="46"/>
    </row>
    <row r="31" ht="42" spans="1:21">
      <c r="A31" s="22">
        <v>30</v>
      </c>
      <c r="B31" s="63" t="s">
        <v>756</v>
      </c>
      <c r="C31" s="46" t="str">
        <f t="shared" si="0"/>
        <v>0x111D</v>
      </c>
      <c r="D31" s="57" t="s">
        <v>15</v>
      </c>
      <c r="E31" s="46" t="s">
        <v>52</v>
      </c>
      <c r="F31" s="46" t="s">
        <v>117</v>
      </c>
      <c r="G31" s="46">
        <v>0</v>
      </c>
      <c r="H31" s="46">
        <v>1</v>
      </c>
      <c r="I31" s="23" t="s">
        <v>757</v>
      </c>
      <c r="M31" s="48"/>
      <c r="N31" s="62"/>
      <c r="O31" s="46"/>
      <c r="P31" s="46"/>
      <c r="Q31" s="57"/>
      <c r="R31" s="46"/>
      <c r="S31" s="46"/>
      <c r="T31" s="46"/>
      <c r="U31" s="46"/>
    </row>
    <row r="32" ht="42" spans="1:21">
      <c r="A32" s="22">
        <v>31</v>
      </c>
      <c r="B32" s="63" t="s">
        <v>758</v>
      </c>
      <c r="C32" s="46" t="str">
        <f t="shared" si="0"/>
        <v>0x111E</v>
      </c>
      <c r="D32" s="57" t="s">
        <v>15</v>
      </c>
      <c r="E32" s="46" t="s">
        <v>52</v>
      </c>
      <c r="F32" s="46" t="s">
        <v>117</v>
      </c>
      <c r="G32" s="46">
        <v>0</v>
      </c>
      <c r="H32" s="46">
        <v>1</v>
      </c>
      <c r="I32" s="23" t="s">
        <v>757</v>
      </c>
    </row>
    <row r="33" ht="56" spans="1:21">
      <c r="A33" s="22">
        <v>32</v>
      </c>
      <c r="B33" s="54" t="s">
        <v>759</v>
      </c>
      <c r="C33" s="46" t="str">
        <f t="shared" si="0"/>
        <v>0x111F</v>
      </c>
      <c r="D33" s="57" t="s">
        <v>15</v>
      </c>
      <c r="E33" s="46" t="s">
        <v>52</v>
      </c>
      <c r="F33" s="46" t="s">
        <v>117</v>
      </c>
      <c r="G33" s="46">
        <v>0</v>
      </c>
      <c r="H33" s="46">
        <v>1</v>
      </c>
      <c r="I33" s="23" t="s">
        <v>760</v>
      </c>
      <c r="M33" s="48"/>
      <c r="N33" s="64"/>
      <c r="O33" s="46"/>
      <c r="P33" s="46"/>
      <c r="Q33" s="57"/>
      <c r="R33" s="46"/>
      <c r="S33" s="46"/>
      <c r="T33" s="46"/>
      <c r="U33" s="46"/>
    </row>
    <row r="34" spans="1:21">
      <c r="A34" s="22">
        <v>33</v>
      </c>
      <c r="B34" s="65" t="s">
        <v>761</v>
      </c>
      <c r="C34" s="46" t="str">
        <f t="shared" si="0"/>
        <v>0x1120</v>
      </c>
      <c r="D34" s="57" t="s">
        <v>15</v>
      </c>
      <c r="E34" s="46" t="s">
        <v>52</v>
      </c>
      <c r="F34" s="66" t="s">
        <v>147</v>
      </c>
      <c r="G34" s="46">
        <v>0</v>
      </c>
      <c r="H34" s="46">
        <v>1</v>
      </c>
      <c r="M34" s="48"/>
      <c r="N34" s="64"/>
      <c r="O34" s="46"/>
      <c r="P34" s="46"/>
      <c r="Q34" s="67"/>
      <c r="R34" s="56"/>
      <c r="S34" s="46"/>
      <c r="T34" s="46"/>
      <c r="U34" s="46"/>
    </row>
    <row r="35" ht="98" spans="1:21">
      <c r="A35" s="22">
        <v>34</v>
      </c>
      <c r="B35" s="65" t="s">
        <v>762</v>
      </c>
      <c r="C35" s="46" t="str">
        <f t="shared" si="0"/>
        <v>0x1121</v>
      </c>
      <c r="D35" s="57" t="s">
        <v>15</v>
      </c>
      <c r="E35" s="46" t="s">
        <v>52</v>
      </c>
      <c r="F35" s="46" t="s">
        <v>763</v>
      </c>
      <c r="G35" s="46">
        <v>1</v>
      </c>
      <c r="H35" s="46">
        <v>1</v>
      </c>
      <c r="I35" s="68" t="s">
        <v>764</v>
      </c>
      <c r="M35" s="48"/>
      <c r="N35" s="64"/>
      <c r="O35" s="46"/>
      <c r="P35" s="46"/>
      <c r="Q35" s="69"/>
      <c r="R35" s="46"/>
      <c r="S35" s="46"/>
      <c r="T35" s="46"/>
      <c r="U35" s="46"/>
    </row>
    <row r="36" ht="210" spans="1:21">
      <c r="A36" s="22">
        <v>35</v>
      </c>
      <c r="B36" s="25" t="s">
        <v>765</v>
      </c>
      <c r="C36" s="24" t="str">
        <f>CONCATENATE("0x",DEC2HEX((A36)+4095,4))</f>
        <v>0x1022</v>
      </c>
      <c r="D36" s="24" t="s">
        <v>15</v>
      </c>
      <c r="E36" s="24" t="s">
        <v>52</v>
      </c>
      <c r="F36" s="24" t="s">
        <v>117</v>
      </c>
      <c r="G36" s="24">
        <v>0</v>
      </c>
      <c r="H36" s="24">
        <v>65535</v>
      </c>
      <c r="I36" s="25" t="s">
        <v>766</v>
      </c>
      <c r="J36" s="24" t="s">
        <v>55</v>
      </c>
      <c r="M36" s="48"/>
      <c r="N36" s="64"/>
      <c r="O36" s="46"/>
      <c r="P36" s="46"/>
      <c r="Q36" s="69"/>
      <c r="R36" s="46"/>
      <c r="S36" s="46"/>
      <c r="T36" s="46"/>
      <c r="U36" s="46"/>
    </row>
    <row r="37" spans="1:21">
      <c r="A37" s="22">
        <v>36</v>
      </c>
      <c r="B37" s="65" t="s">
        <v>38</v>
      </c>
      <c r="C37" s="46" t="str">
        <f t="shared" si="0"/>
        <v>0x1123</v>
      </c>
      <c r="D37" s="57" t="s">
        <v>15</v>
      </c>
      <c r="E37" s="46" t="s">
        <v>52</v>
      </c>
      <c r="F37" s="46" t="s">
        <v>117</v>
      </c>
      <c r="G37" s="46">
        <v>0</v>
      </c>
      <c r="H37" s="46">
        <v>1</v>
      </c>
      <c r="M37" s="48"/>
      <c r="N37" s="64"/>
      <c r="O37" s="46"/>
      <c r="P37" s="46"/>
      <c r="Q37" s="69"/>
      <c r="R37" s="46"/>
      <c r="S37" s="46"/>
      <c r="T37" s="46"/>
      <c r="U37" s="46"/>
    </row>
    <row r="38" spans="1:21">
      <c r="A38" s="22">
        <v>37</v>
      </c>
      <c r="B38" s="65" t="s">
        <v>38</v>
      </c>
      <c r="C38" s="46" t="str">
        <f t="shared" si="0"/>
        <v>0x1124</v>
      </c>
      <c r="D38" s="57" t="s">
        <v>15</v>
      </c>
      <c r="E38" s="46" t="s">
        <v>52</v>
      </c>
      <c r="F38" s="46" t="s">
        <v>117</v>
      </c>
      <c r="G38" s="46">
        <v>0</v>
      </c>
      <c r="H38" s="46">
        <v>1</v>
      </c>
      <c r="M38" s="48"/>
      <c r="N38" s="64"/>
      <c r="O38" s="46"/>
      <c r="P38" s="46"/>
      <c r="Q38" s="69"/>
      <c r="R38" s="46"/>
      <c r="S38" s="46"/>
      <c r="T38" s="46"/>
      <c r="U38" s="46"/>
    </row>
    <row r="39" spans="1:21">
      <c r="A39" s="22">
        <v>38</v>
      </c>
      <c r="B39" s="65" t="s">
        <v>38</v>
      </c>
      <c r="C39" s="46" t="str">
        <f t="shared" si="0"/>
        <v>0x1125</v>
      </c>
      <c r="D39" s="57" t="s">
        <v>15</v>
      </c>
      <c r="E39" s="46" t="s">
        <v>52</v>
      </c>
      <c r="F39" s="46" t="s">
        <v>117</v>
      </c>
      <c r="G39" s="46">
        <v>0</v>
      </c>
      <c r="H39" s="46">
        <v>1</v>
      </c>
      <c r="M39" s="48"/>
      <c r="N39" s="64"/>
      <c r="O39" s="46"/>
      <c r="P39" s="46"/>
      <c r="Q39" s="69"/>
      <c r="R39" s="46"/>
      <c r="S39" s="46"/>
      <c r="T39" s="46"/>
      <c r="U39" s="46"/>
    </row>
    <row r="40" spans="1:21">
      <c r="A40" s="22">
        <v>39</v>
      </c>
      <c r="B40" s="65" t="s">
        <v>38</v>
      </c>
      <c r="C40" s="46" t="str">
        <f t="shared" si="0"/>
        <v>0x1126</v>
      </c>
      <c r="D40" s="57" t="s">
        <v>15</v>
      </c>
      <c r="E40" s="46" t="s">
        <v>52</v>
      </c>
      <c r="F40" s="46" t="s">
        <v>117</v>
      </c>
      <c r="G40" s="46">
        <v>0</v>
      </c>
      <c r="H40" s="46">
        <v>1</v>
      </c>
      <c r="O40" s="46"/>
      <c r="P40" s="46"/>
      <c r="Q40" s="69"/>
      <c r="R40" s="46"/>
      <c r="S40" s="46"/>
      <c r="T40" s="46"/>
      <c r="U40" s="46"/>
    </row>
    <row r="41" spans="1:21">
      <c r="O41" s="46"/>
      <c r="P41" s="46"/>
      <c r="Q41" s="69"/>
      <c r="R41" s="46"/>
      <c r="S41" s="46"/>
      <c r="T41" s="46"/>
      <c r="U41" s="46"/>
    </row>
    <row r="42" spans="1:21">
      <c r="O42" s="46"/>
      <c r="P42" s="46"/>
      <c r="Q42" s="69"/>
      <c r="R42" s="46"/>
      <c r="S42" s="46"/>
      <c r="T42" s="46"/>
      <c r="U42" s="46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4"/>
  <sheetViews>
    <sheetView workbookViewId="0">
      <pane ySplit="1" topLeftCell="A2" activePane="bottomLeft" state="frozen"/>
      <selection/>
      <selection pane="bottomLeft" activeCell="F17" sqref="F17"/>
    </sheetView>
  </sheetViews>
  <sheetFormatPr defaultColWidth="9" defaultRowHeight="14"/>
  <cols>
    <col min="1" max="1" width="5.25" customWidth="1"/>
    <col min="2" max="3" width="20.8333333333333" customWidth="1"/>
    <col min="4" max="4" width="7.75" customWidth="1"/>
    <col min="6" max="7" width="16.6666666666667" style="47" customWidth="1"/>
    <col min="8" max="8" width="16.0833333333333" style="47" customWidth="1"/>
    <col min="9" max="9" width="23.9166666666667" style="28" customWidth="1"/>
  </cols>
  <sheetData>
    <row r="1" s="46" customFormat="1" ht="26" customHeight="1" spans="1:9">
      <c r="A1" s="20" t="s">
        <v>4</v>
      </c>
      <c r="B1" s="20" t="s">
        <v>5</v>
      </c>
      <c r="C1" s="20" t="s">
        <v>6</v>
      </c>
      <c r="D1" s="20" t="s">
        <v>8</v>
      </c>
      <c r="E1" s="20" t="s">
        <v>9</v>
      </c>
      <c r="F1" s="21" t="s">
        <v>48</v>
      </c>
      <c r="G1" s="21" t="s">
        <v>10</v>
      </c>
      <c r="H1" s="20" t="s">
        <v>49</v>
      </c>
      <c r="I1" s="20" t="s">
        <v>11</v>
      </c>
    </row>
    <row r="2" s="30" customFormat="1" ht="35" customHeight="1" spans="1:9">
      <c r="A2" s="30">
        <v>1</v>
      </c>
      <c r="B2" s="22" t="s">
        <v>767</v>
      </c>
      <c r="C2" s="30" t="str">
        <f>CONCATENATE("0x",DEC2HEX((A2)+16895,4))</f>
        <v>0x4200</v>
      </c>
      <c r="D2" s="30" t="s">
        <v>220</v>
      </c>
      <c r="E2" s="30" t="s">
        <v>221</v>
      </c>
      <c r="F2" s="30" t="s">
        <v>117</v>
      </c>
      <c r="H2" s="30">
        <v>1</v>
      </c>
      <c r="I2" s="23" t="s">
        <v>768</v>
      </c>
    </row>
    <row r="3" s="47" customFormat="1" ht="35" customHeight="1" spans="1:9">
      <c r="A3" s="30">
        <v>2</v>
      </c>
      <c r="B3" s="30" t="s">
        <v>769</v>
      </c>
      <c r="C3" s="22" t="str">
        <f t="shared" ref="C3:C30" si="0">CONCATENATE("0x",DEC2HEX((A3)+16895,4))</f>
        <v>0x4201</v>
      </c>
      <c r="D3" s="22" t="s">
        <v>220</v>
      </c>
      <c r="E3" s="30" t="s">
        <v>221</v>
      </c>
      <c r="F3" s="22" t="s">
        <v>117</v>
      </c>
      <c r="G3" s="22"/>
      <c r="H3" s="22">
        <v>1</v>
      </c>
      <c r="I3" s="49"/>
    </row>
    <row r="4" s="47" customFormat="1" ht="35" customHeight="1" spans="1:9">
      <c r="A4" s="30">
        <v>3</v>
      </c>
      <c r="B4" s="22" t="s">
        <v>770</v>
      </c>
      <c r="C4" s="22" t="str">
        <f t="shared" si="0"/>
        <v>0x4202</v>
      </c>
      <c r="D4" s="22" t="s">
        <v>220</v>
      </c>
      <c r="E4" s="30" t="s">
        <v>221</v>
      </c>
      <c r="F4" s="22" t="s">
        <v>298</v>
      </c>
      <c r="G4" s="22"/>
      <c r="H4" s="22" t="s">
        <v>75</v>
      </c>
      <c r="I4" s="32"/>
    </row>
    <row r="5" s="47" customFormat="1" ht="35" customHeight="1" spans="1:9">
      <c r="A5" s="30">
        <v>4</v>
      </c>
      <c r="B5" s="22" t="s">
        <v>771</v>
      </c>
      <c r="C5" s="22" t="str">
        <f t="shared" si="0"/>
        <v>0x4203</v>
      </c>
      <c r="D5" s="22" t="s">
        <v>220</v>
      </c>
      <c r="E5" s="30" t="s">
        <v>221</v>
      </c>
      <c r="F5" s="22" t="s">
        <v>298</v>
      </c>
      <c r="G5" s="22"/>
      <c r="H5" s="22" t="s">
        <v>82</v>
      </c>
      <c r="I5" s="23" t="s">
        <v>772</v>
      </c>
    </row>
    <row r="6" s="47" customFormat="1" ht="35" customHeight="1" spans="1:9">
      <c r="A6" s="30">
        <v>5</v>
      </c>
      <c r="B6" s="22" t="s">
        <v>773</v>
      </c>
      <c r="C6" s="22" t="str">
        <f t="shared" si="0"/>
        <v>0x4204</v>
      </c>
      <c r="D6" s="22" t="s">
        <v>220</v>
      </c>
      <c r="E6" s="30" t="s">
        <v>221</v>
      </c>
      <c r="F6" s="22" t="s">
        <v>298</v>
      </c>
      <c r="G6" s="22"/>
      <c r="H6" s="22" t="s">
        <v>774</v>
      </c>
      <c r="I6" s="23" t="s">
        <v>775</v>
      </c>
    </row>
    <row r="7" s="47" customFormat="1" ht="35" customHeight="1" spans="1:9">
      <c r="A7" s="30">
        <v>6</v>
      </c>
      <c r="B7" s="22" t="s">
        <v>776</v>
      </c>
      <c r="C7" s="22" t="str">
        <f t="shared" si="0"/>
        <v>0x4205</v>
      </c>
      <c r="D7" s="22" t="s">
        <v>220</v>
      </c>
      <c r="E7" s="30" t="s">
        <v>221</v>
      </c>
      <c r="F7" s="22" t="s">
        <v>260</v>
      </c>
      <c r="G7" s="22"/>
      <c r="H7" s="22">
        <v>0.1</v>
      </c>
      <c r="I7" s="32" t="s">
        <v>777</v>
      </c>
    </row>
    <row r="8" s="47" customFormat="1" ht="35" customHeight="1" spans="1:9">
      <c r="A8" s="30">
        <v>7</v>
      </c>
      <c r="B8" s="22" t="s">
        <v>778</v>
      </c>
      <c r="C8" s="22" t="str">
        <f t="shared" si="0"/>
        <v>0x4206</v>
      </c>
      <c r="D8" s="22" t="s">
        <v>220</v>
      </c>
      <c r="E8" s="30" t="s">
        <v>221</v>
      </c>
      <c r="F8" s="22" t="s">
        <v>260</v>
      </c>
      <c r="G8" s="22"/>
      <c r="H8" s="22">
        <v>0.1</v>
      </c>
      <c r="I8" s="32" t="s">
        <v>777</v>
      </c>
    </row>
    <row r="9" s="47" customFormat="1" ht="35" customHeight="1" spans="1:9">
      <c r="A9" s="30">
        <v>8</v>
      </c>
      <c r="B9" s="22" t="s">
        <v>779</v>
      </c>
      <c r="C9" s="22" t="str">
        <f t="shared" si="0"/>
        <v>0x4207</v>
      </c>
      <c r="D9" s="22" t="s">
        <v>220</v>
      </c>
      <c r="E9" s="30" t="s">
        <v>221</v>
      </c>
      <c r="F9" s="22" t="s">
        <v>298</v>
      </c>
      <c r="G9" s="22"/>
      <c r="H9" s="22" t="s">
        <v>82</v>
      </c>
      <c r="I9" s="32" t="s">
        <v>777</v>
      </c>
    </row>
    <row r="10" s="47" customFormat="1" ht="35" customHeight="1" spans="1:9">
      <c r="A10" s="30">
        <v>9</v>
      </c>
      <c r="B10" s="22" t="s">
        <v>780</v>
      </c>
      <c r="C10" s="22" t="str">
        <f t="shared" si="0"/>
        <v>0x4208</v>
      </c>
      <c r="D10" s="22" t="s">
        <v>220</v>
      </c>
      <c r="E10" s="30" t="s">
        <v>227</v>
      </c>
      <c r="F10" s="118" t="s">
        <v>291</v>
      </c>
      <c r="G10" s="22"/>
      <c r="H10" s="22" t="s">
        <v>86</v>
      </c>
      <c r="I10" s="23" t="s">
        <v>781</v>
      </c>
    </row>
    <row r="11" s="47" customFormat="1" ht="35" customHeight="1" spans="1:9">
      <c r="A11" s="30">
        <v>10</v>
      </c>
      <c r="B11" s="22" t="s">
        <v>782</v>
      </c>
      <c r="C11" s="22" t="str">
        <f t="shared" si="0"/>
        <v>0x4209</v>
      </c>
      <c r="D11" s="22" t="s">
        <v>220</v>
      </c>
      <c r="E11" s="30" t="s">
        <v>221</v>
      </c>
      <c r="F11" s="22" t="s">
        <v>298</v>
      </c>
      <c r="G11" s="22"/>
      <c r="H11" s="22" t="s">
        <v>301</v>
      </c>
      <c r="I11" s="32" t="s">
        <v>777</v>
      </c>
    </row>
    <row r="12" s="47" customFormat="1" ht="35" customHeight="1" spans="1:9">
      <c r="A12" s="30">
        <v>11</v>
      </c>
      <c r="B12" s="22" t="s">
        <v>783</v>
      </c>
      <c r="C12" s="22" t="str">
        <f t="shared" si="0"/>
        <v>0x420A</v>
      </c>
      <c r="D12" s="22" t="s">
        <v>220</v>
      </c>
      <c r="E12" s="30" t="s">
        <v>221</v>
      </c>
      <c r="F12" s="22" t="s">
        <v>298</v>
      </c>
      <c r="G12" s="22"/>
      <c r="H12" s="22" t="s">
        <v>301</v>
      </c>
      <c r="I12" s="32" t="s">
        <v>777</v>
      </c>
    </row>
    <row r="13" s="47" customFormat="1" ht="35" customHeight="1" spans="1:9">
      <c r="A13" s="30">
        <v>12</v>
      </c>
      <c r="B13" s="22" t="s">
        <v>784</v>
      </c>
      <c r="C13" s="22" t="str">
        <f t="shared" si="0"/>
        <v>0x420B</v>
      </c>
      <c r="D13" s="22" t="s">
        <v>220</v>
      </c>
      <c r="E13" s="30" t="s">
        <v>221</v>
      </c>
      <c r="F13" s="22" t="s">
        <v>298</v>
      </c>
      <c r="G13" s="22"/>
      <c r="H13" s="22" t="s">
        <v>86</v>
      </c>
      <c r="I13" s="32" t="s">
        <v>777</v>
      </c>
    </row>
    <row r="14" s="47" customFormat="1" ht="35" customHeight="1" spans="1:9">
      <c r="A14" s="30">
        <v>13</v>
      </c>
      <c r="B14" s="22" t="s">
        <v>785</v>
      </c>
      <c r="C14" s="22" t="str">
        <f t="shared" si="0"/>
        <v>0x420C</v>
      </c>
      <c r="D14" s="22" t="s">
        <v>220</v>
      </c>
      <c r="E14" s="30" t="s">
        <v>221</v>
      </c>
      <c r="F14" s="22" t="s">
        <v>298</v>
      </c>
      <c r="G14" s="22"/>
      <c r="H14" s="22" t="s">
        <v>86</v>
      </c>
      <c r="I14" s="32" t="s">
        <v>777</v>
      </c>
    </row>
    <row r="15" s="47" customFormat="1" ht="35" customHeight="1" spans="1:9">
      <c r="A15" s="30">
        <v>14</v>
      </c>
      <c r="B15" s="22" t="s">
        <v>786</v>
      </c>
      <c r="C15" s="22" t="str">
        <f t="shared" si="0"/>
        <v>0x420D</v>
      </c>
      <c r="D15" s="22" t="s">
        <v>220</v>
      </c>
      <c r="E15" s="30" t="s">
        <v>221</v>
      </c>
      <c r="F15" s="22" t="s">
        <v>298</v>
      </c>
      <c r="G15" s="22"/>
      <c r="H15" s="22" t="s">
        <v>75</v>
      </c>
      <c r="I15" s="32" t="s">
        <v>777</v>
      </c>
    </row>
    <row r="16" s="47" customFormat="1" ht="35" customHeight="1" spans="1:9">
      <c r="A16" s="30">
        <v>15</v>
      </c>
      <c r="B16" s="22" t="s">
        <v>787</v>
      </c>
      <c r="C16" s="22" t="str">
        <f t="shared" si="0"/>
        <v>0x420E</v>
      </c>
      <c r="D16" s="22" t="s">
        <v>220</v>
      </c>
      <c r="E16" s="30" t="s">
        <v>221</v>
      </c>
      <c r="F16" s="22" t="s">
        <v>298</v>
      </c>
      <c r="G16" s="22"/>
      <c r="H16" s="22" t="s">
        <v>75</v>
      </c>
      <c r="I16" s="32" t="s">
        <v>777</v>
      </c>
    </row>
    <row r="17" s="47" customFormat="1" ht="35" customHeight="1" spans="1:9">
      <c r="A17" s="30">
        <v>16</v>
      </c>
      <c r="B17" s="22" t="s">
        <v>788</v>
      </c>
      <c r="C17" s="22" t="str">
        <f t="shared" si="0"/>
        <v>0x420F</v>
      </c>
      <c r="D17" s="22" t="s">
        <v>220</v>
      </c>
      <c r="E17" s="30" t="s">
        <v>221</v>
      </c>
      <c r="F17" s="22" t="s">
        <v>260</v>
      </c>
      <c r="G17" s="22"/>
      <c r="H17" s="22">
        <v>0.0001</v>
      </c>
      <c r="I17" s="32" t="s">
        <v>777</v>
      </c>
    </row>
    <row r="18" s="47" customFormat="1" ht="35" customHeight="1" spans="1:9">
      <c r="A18" s="30">
        <v>17</v>
      </c>
      <c r="B18" s="22" t="s">
        <v>789</v>
      </c>
      <c r="C18" s="22" t="str">
        <f t="shared" si="0"/>
        <v>0x4210</v>
      </c>
      <c r="D18" s="22" t="s">
        <v>220</v>
      </c>
      <c r="E18" s="30" t="s">
        <v>221</v>
      </c>
      <c r="F18" s="22" t="s">
        <v>260</v>
      </c>
      <c r="G18" s="22"/>
      <c r="H18" s="22">
        <v>0.0001</v>
      </c>
      <c r="I18" s="32" t="s">
        <v>777</v>
      </c>
    </row>
    <row r="19" s="47" customFormat="1" ht="35" customHeight="1" spans="1:9">
      <c r="A19" s="30">
        <v>18</v>
      </c>
      <c r="B19" s="22" t="s">
        <v>790</v>
      </c>
      <c r="C19" s="22" t="str">
        <f t="shared" si="0"/>
        <v>0x4211</v>
      </c>
      <c r="D19" s="22" t="s">
        <v>220</v>
      </c>
      <c r="E19" s="30" t="s">
        <v>227</v>
      </c>
      <c r="F19" s="22" t="s">
        <v>791</v>
      </c>
      <c r="G19" s="22"/>
      <c r="H19" s="22" t="s">
        <v>792</v>
      </c>
      <c r="I19" s="32" t="s">
        <v>777</v>
      </c>
    </row>
    <row r="20" s="47" customFormat="1" ht="35" customHeight="1" spans="1:9">
      <c r="A20" s="30">
        <v>19</v>
      </c>
      <c r="B20" s="22" t="s">
        <v>793</v>
      </c>
      <c r="C20" s="22" t="str">
        <f t="shared" si="0"/>
        <v>0x4212</v>
      </c>
      <c r="D20" s="22" t="s">
        <v>220</v>
      </c>
      <c r="E20" s="30" t="s">
        <v>227</v>
      </c>
      <c r="F20" s="22" t="s">
        <v>791</v>
      </c>
      <c r="G20" s="22"/>
      <c r="H20" s="22" t="s">
        <v>792</v>
      </c>
      <c r="I20" s="32" t="s">
        <v>777</v>
      </c>
    </row>
    <row r="21" s="47" customFormat="1" ht="35" customHeight="1" spans="1:9">
      <c r="A21" s="30">
        <v>20</v>
      </c>
      <c r="B21" s="22" t="s">
        <v>794</v>
      </c>
      <c r="C21" s="22" t="str">
        <f t="shared" si="0"/>
        <v>0x4213</v>
      </c>
      <c r="D21" s="22" t="s">
        <v>220</v>
      </c>
      <c r="E21" s="30" t="s">
        <v>221</v>
      </c>
      <c r="F21" s="22" t="s">
        <v>795</v>
      </c>
      <c r="G21" s="22"/>
      <c r="H21" s="22" t="s">
        <v>796</v>
      </c>
      <c r="I21" s="32" t="s">
        <v>777</v>
      </c>
    </row>
    <row r="22" s="47" customFormat="1" ht="35" customHeight="1" spans="1:9">
      <c r="A22" s="30">
        <v>21</v>
      </c>
      <c r="B22" s="22" t="s">
        <v>797</v>
      </c>
      <c r="C22" s="22" t="str">
        <f t="shared" si="0"/>
        <v>0x4214</v>
      </c>
      <c r="D22" s="22" t="s">
        <v>220</v>
      </c>
      <c r="E22" s="30" t="s">
        <v>221</v>
      </c>
      <c r="F22" s="22" t="s">
        <v>795</v>
      </c>
      <c r="G22" s="22"/>
      <c r="H22" s="22" t="s">
        <v>796</v>
      </c>
      <c r="I22" s="32" t="s">
        <v>777</v>
      </c>
    </row>
    <row r="23" s="47" customFormat="1" ht="35" customHeight="1" spans="1:9">
      <c r="A23" s="30">
        <v>22</v>
      </c>
      <c r="B23" s="22" t="s">
        <v>798</v>
      </c>
      <c r="C23" s="22" t="str">
        <f t="shared" si="0"/>
        <v>0x4215</v>
      </c>
      <c r="D23" s="22" t="s">
        <v>220</v>
      </c>
      <c r="E23" s="30" t="s">
        <v>221</v>
      </c>
      <c r="F23" s="22" t="s">
        <v>298</v>
      </c>
      <c r="G23" s="22"/>
      <c r="H23" s="22" t="s">
        <v>301</v>
      </c>
      <c r="I23" s="32" t="s">
        <v>777</v>
      </c>
    </row>
    <row r="24" s="47" customFormat="1" ht="35" customHeight="1" spans="1:9">
      <c r="A24" s="30">
        <v>23</v>
      </c>
      <c r="B24" s="22" t="s">
        <v>799</v>
      </c>
      <c r="C24" s="22" t="str">
        <f t="shared" si="0"/>
        <v>0x4216</v>
      </c>
      <c r="D24" s="22" t="s">
        <v>220</v>
      </c>
      <c r="E24" s="30" t="s">
        <v>221</v>
      </c>
      <c r="F24" s="22" t="s">
        <v>298</v>
      </c>
      <c r="G24" s="22"/>
      <c r="H24" s="22" t="s">
        <v>301</v>
      </c>
      <c r="I24" s="32" t="s">
        <v>777</v>
      </c>
    </row>
    <row r="25" s="47" customFormat="1" ht="35" customHeight="1" spans="1:9">
      <c r="A25" s="30">
        <v>24</v>
      </c>
      <c r="B25" s="22" t="s">
        <v>800</v>
      </c>
      <c r="C25" s="22" t="str">
        <f t="shared" si="0"/>
        <v>0x4217</v>
      </c>
      <c r="D25" s="22" t="s">
        <v>220</v>
      </c>
      <c r="E25" s="30" t="s">
        <v>221</v>
      </c>
      <c r="F25" s="22" t="s">
        <v>117</v>
      </c>
      <c r="G25" s="22"/>
      <c r="H25" s="22" t="s">
        <v>801</v>
      </c>
      <c r="I25" s="23" t="s">
        <v>802</v>
      </c>
    </row>
    <row r="26" s="47" customFormat="1" ht="35" customHeight="1" spans="1:9">
      <c r="A26" s="30">
        <v>25</v>
      </c>
      <c r="B26" s="22" t="s">
        <v>803</v>
      </c>
      <c r="C26" s="22" t="str">
        <f t="shared" si="0"/>
        <v>0x4218</v>
      </c>
      <c r="D26" s="22" t="s">
        <v>220</v>
      </c>
      <c r="E26" s="30" t="s">
        <v>221</v>
      </c>
      <c r="F26" s="22" t="s">
        <v>117</v>
      </c>
      <c r="G26" s="22"/>
      <c r="H26" s="22" t="s">
        <v>801</v>
      </c>
      <c r="I26" s="23"/>
    </row>
    <row r="27" s="47" customFormat="1" ht="35" customHeight="1" spans="1:9">
      <c r="A27" s="30">
        <v>26</v>
      </c>
      <c r="B27" s="22" t="s">
        <v>804</v>
      </c>
      <c r="C27" s="22" t="str">
        <f t="shared" si="0"/>
        <v>0x4219</v>
      </c>
      <c r="D27" s="22" t="s">
        <v>220</v>
      </c>
      <c r="E27" s="30" t="s">
        <v>221</v>
      </c>
      <c r="F27" s="22" t="s">
        <v>117</v>
      </c>
      <c r="G27" s="22"/>
      <c r="H27" s="22" t="s">
        <v>801</v>
      </c>
      <c r="I27" s="23" t="s">
        <v>805</v>
      </c>
    </row>
    <row r="28" s="47" customFormat="1" ht="35" customHeight="1" spans="1:9">
      <c r="A28" s="30">
        <v>27</v>
      </c>
      <c r="B28" s="22" t="s">
        <v>806</v>
      </c>
      <c r="C28" s="22" t="str">
        <f t="shared" si="0"/>
        <v>0x421A</v>
      </c>
      <c r="D28" s="22" t="s">
        <v>220</v>
      </c>
      <c r="E28" s="30" t="s">
        <v>221</v>
      </c>
      <c r="F28" s="22" t="s">
        <v>117</v>
      </c>
      <c r="G28" s="22"/>
      <c r="H28" s="22" t="s">
        <v>801</v>
      </c>
      <c r="I28" s="23"/>
    </row>
    <row r="29" s="47" customFormat="1" ht="35" customHeight="1" spans="1:9">
      <c r="A29" s="50">
        <v>28</v>
      </c>
      <c r="B29" s="50" t="s">
        <v>807</v>
      </c>
      <c r="C29" s="22" t="str">
        <f t="shared" si="0"/>
        <v>0x421B</v>
      </c>
      <c r="D29" s="22" t="s">
        <v>220</v>
      </c>
      <c r="E29" s="50" t="s">
        <v>221</v>
      </c>
      <c r="F29" s="22" t="s">
        <v>117</v>
      </c>
      <c r="G29" s="22"/>
      <c r="H29" s="22" t="s">
        <v>801</v>
      </c>
      <c r="I29" s="51"/>
    </row>
    <row r="30" s="47" customFormat="1" ht="35" customHeight="1" spans="1:9">
      <c r="A30" s="30">
        <v>29</v>
      </c>
      <c r="B30" s="22" t="s">
        <v>808</v>
      </c>
      <c r="C30" s="22" t="str">
        <f t="shared" si="0"/>
        <v>0x421C</v>
      </c>
      <c r="D30" s="22" t="s">
        <v>220</v>
      </c>
      <c r="E30" s="30" t="s">
        <v>221</v>
      </c>
      <c r="F30" s="22" t="s">
        <v>117</v>
      </c>
      <c r="G30" s="22"/>
      <c r="H30" s="22" t="s">
        <v>801</v>
      </c>
      <c r="I30" s="28"/>
    </row>
    <row r="31" s="47" customFormat="1" ht="35" customHeight="1" spans="1:9">
      <c r="A31" s="30"/>
      <c r="B31" s="22"/>
      <c r="C31" s="22"/>
      <c r="D31" s="30"/>
      <c r="E31" s="30"/>
      <c r="F31" s="30"/>
      <c r="G31" s="30"/>
      <c r="H31" s="30"/>
      <c r="I31" s="28"/>
    </row>
    <row r="32" s="47" customFormat="1" ht="35" customHeight="1" spans="1:9">
      <c r="A32"/>
      <c r="B32"/>
      <c r="C32"/>
      <c r="D32"/>
      <c r="E32"/>
      <c r="F32"/>
      <c r="G32"/>
      <c r="H32"/>
      <c r="I32" s="28"/>
    </row>
    <row r="33" s="47" customFormat="1" ht="35" customHeight="1" spans="1:10">
      <c r="A33"/>
      <c r="B33"/>
      <c r="C33"/>
      <c r="D33"/>
      <c r="E33"/>
      <c r="F33"/>
      <c r="G33"/>
      <c r="H33"/>
      <c r="I33" s="28"/>
      <c r="J33"/>
    </row>
    <row r="34" s="47" customFormat="1" ht="35" customHeight="1" spans="1:10">
      <c r="A34"/>
      <c r="B34"/>
      <c r="C34"/>
      <c r="D34"/>
      <c r="E34"/>
      <c r="F34"/>
      <c r="G34"/>
      <c r="H34"/>
      <c r="I34" s="28"/>
      <c r="J34" s="48"/>
    </row>
    <row r="35" s="47" customFormat="1" ht="35" customHeight="1" spans="1:10">
      <c r="A35"/>
      <c r="B35"/>
      <c r="C35"/>
      <c r="D35"/>
      <c r="E35"/>
      <c r="F35"/>
      <c r="G35"/>
      <c r="H35"/>
      <c r="I35" s="28"/>
      <c r="J35" s="48"/>
    </row>
    <row r="36" s="47" customFormat="1" ht="35" customHeight="1" spans="1:10">
      <c r="A36"/>
      <c r="B36"/>
      <c r="C36"/>
      <c r="D36"/>
      <c r="E36"/>
      <c r="F36"/>
      <c r="G36"/>
      <c r="H36"/>
      <c r="I36" s="28"/>
      <c r="J36" s="48"/>
    </row>
    <row r="37" s="47" customFormat="1" ht="35" customHeight="1" spans="1:10">
      <c r="A37"/>
      <c r="B37"/>
      <c r="C37"/>
      <c r="D37"/>
      <c r="E37"/>
      <c r="F37"/>
      <c r="G37"/>
      <c r="H37"/>
      <c r="I37" s="28"/>
      <c r="J37" s="48"/>
    </row>
    <row r="38" spans="1:10">
      <c r="F38"/>
      <c r="G38"/>
      <c r="H38"/>
      <c r="J38" s="48"/>
    </row>
    <row r="39" s="48" customFormat="1" ht="25.5" customHeight="1" spans="1:10">
      <c r="A39"/>
      <c r="B39"/>
      <c r="C39"/>
      <c r="D39"/>
      <c r="E39"/>
      <c r="F39"/>
      <c r="G39"/>
      <c r="H39"/>
      <c r="I39" s="28"/>
    </row>
    <row r="40" s="48" customFormat="1" ht="25.5" customHeight="1" spans="1:10">
      <c r="A40"/>
      <c r="B40"/>
      <c r="C40"/>
      <c r="D40"/>
      <c r="E40"/>
      <c r="F40"/>
      <c r="G40"/>
      <c r="H40"/>
      <c r="I40" s="28"/>
    </row>
    <row r="41" s="48" customFormat="1" ht="25.5" customHeight="1" spans="1:10">
      <c r="A41"/>
      <c r="B41"/>
      <c r="C41"/>
      <c r="D41"/>
      <c r="E41"/>
      <c r="F41"/>
      <c r="G41"/>
      <c r="H41"/>
      <c r="I41" s="28"/>
    </row>
    <row r="42" s="48" customFormat="1" ht="25.5" customHeight="1" spans="1:10">
      <c r="A42"/>
      <c r="B42"/>
      <c r="C42"/>
      <c r="D42"/>
      <c r="E42"/>
      <c r="F42"/>
      <c r="G42"/>
      <c r="H42"/>
      <c r="I42" s="28"/>
    </row>
    <row r="43" s="48" customFormat="1" ht="25.5" customHeight="1" spans="1:10">
      <c r="A43"/>
      <c r="B43"/>
      <c r="C43"/>
      <c r="D43"/>
      <c r="E43"/>
      <c r="F43"/>
      <c r="G43"/>
      <c r="H43"/>
      <c r="I43" s="28"/>
    </row>
    <row r="44" s="48" customFormat="1" ht="25.5" customHeight="1" spans="1:10">
      <c r="A44"/>
      <c r="B44"/>
      <c r="C44"/>
      <c r="D44"/>
      <c r="E44"/>
      <c r="F44"/>
      <c r="G44"/>
      <c r="H44"/>
      <c r="I44" s="28"/>
    </row>
    <row r="45" s="48" customFormat="1" ht="25.5" customHeight="1" spans="1:10">
      <c r="A45"/>
      <c r="B45"/>
      <c r="C45"/>
      <c r="D45"/>
      <c r="E45"/>
      <c r="F45"/>
      <c r="G45"/>
      <c r="H45"/>
      <c r="I45" s="28"/>
    </row>
    <row r="46" s="48" customFormat="1" ht="25.5" customHeight="1" spans="1:10">
      <c r="A46"/>
      <c r="B46"/>
      <c r="C46"/>
      <c r="D46"/>
      <c r="E46"/>
      <c r="F46"/>
      <c r="G46"/>
      <c r="H46"/>
      <c r="I46" s="28"/>
    </row>
    <row r="47" s="48" customFormat="1" ht="25.5" customHeight="1" spans="1:10">
      <c r="A47"/>
      <c r="B47"/>
      <c r="C47"/>
      <c r="D47"/>
      <c r="E47"/>
      <c r="F47"/>
      <c r="G47"/>
      <c r="H47"/>
      <c r="I47" s="28"/>
    </row>
    <row r="48" s="48" customFormat="1" ht="25.5" customHeight="1" spans="1:10">
      <c r="A48"/>
      <c r="B48"/>
      <c r="C48"/>
      <c r="D48"/>
      <c r="E48"/>
      <c r="F48"/>
      <c r="G48"/>
      <c r="H48"/>
      <c r="I48" s="28"/>
    </row>
    <row r="49" s="48" customFormat="1" ht="25.5" customHeight="1" spans="1:10">
      <c r="A49"/>
      <c r="B49"/>
      <c r="C49"/>
      <c r="D49"/>
      <c r="E49"/>
      <c r="F49"/>
      <c r="G49"/>
      <c r="H49"/>
      <c r="I49" s="28"/>
    </row>
    <row r="50" s="48" customFormat="1" ht="25.5" customHeight="1" spans="1:10">
      <c r="A50"/>
      <c r="B50"/>
      <c r="C50"/>
      <c r="D50"/>
      <c r="E50"/>
      <c r="F50" s="47"/>
      <c r="G50" s="47"/>
      <c r="H50" s="47"/>
      <c r="I50" s="28"/>
      <c r="J50"/>
    </row>
    <row r="51" s="48" customFormat="1" ht="25.5" customHeight="1" spans="1:10">
      <c r="A51"/>
      <c r="B51"/>
      <c r="C51"/>
      <c r="D51"/>
      <c r="E51"/>
      <c r="F51" s="47"/>
      <c r="G51" s="47"/>
      <c r="H51" s="47"/>
      <c r="I51" s="28"/>
      <c r="J51"/>
    </row>
    <row r="52" s="48" customFormat="1" ht="25.5" customHeight="1" spans="1:10">
      <c r="A52"/>
      <c r="B52"/>
      <c r="C52"/>
      <c r="D52"/>
      <c r="E52"/>
      <c r="F52" s="47"/>
      <c r="G52" s="47"/>
      <c r="H52" s="47"/>
      <c r="I52" s="28"/>
      <c r="J52"/>
    </row>
    <row r="53" s="48" customFormat="1" ht="25.5" customHeight="1" spans="1:10">
      <c r="A53"/>
      <c r="B53"/>
      <c r="C53"/>
      <c r="D53"/>
      <c r="E53"/>
      <c r="F53" s="47"/>
      <c r="G53" s="47"/>
      <c r="H53" s="47"/>
      <c r="I53" s="28"/>
      <c r="J53"/>
    </row>
    <row r="54" s="48" customFormat="1" ht="25.5" customHeight="1" spans="1:10">
      <c r="A54"/>
      <c r="B54"/>
      <c r="C54"/>
      <c r="D54"/>
      <c r="E54"/>
      <c r="F54" s="47"/>
      <c r="G54" s="47"/>
      <c r="H54" s="47"/>
      <c r="I54" s="28"/>
      <c r="J54"/>
    </row>
  </sheetData>
  <mergeCells count="2">
    <mergeCell ref="I25:I26"/>
    <mergeCell ref="I27:I28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2"/>
  <sheetViews>
    <sheetView workbookViewId="0">
      <pane ySplit="1" topLeftCell="A2" activePane="bottomLeft" state="frozen"/>
      <selection/>
      <selection pane="bottomLeft" activeCell="B51" sqref="B51"/>
    </sheetView>
  </sheetViews>
  <sheetFormatPr defaultColWidth="8.66666666666667" defaultRowHeight="14"/>
  <cols>
    <col min="2" max="2" width="20.3333333333333" style="28" customWidth="1"/>
    <col min="3" max="3" width="12.4166666666667" customWidth="1"/>
    <col min="6" max="6" width="15.4166666666667" customWidth="1"/>
    <col min="9" max="9" width="26.5833333333333" style="28" customWidth="1"/>
  </cols>
  <sheetData>
    <row r="1" ht="26" customHeight="1" spans="1:14">
      <c r="A1" s="20" t="s">
        <v>4</v>
      </c>
      <c r="B1" s="20" t="s">
        <v>5</v>
      </c>
      <c r="C1" s="20" t="s">
        <v>6</v>
      </c>
      <c r="D1" s="20" t="s">
        <v>8</v>
      </c>
      <c r="E1" s="20" t="s">
        <v>9</v>
      </c>
      <c r="F1" s="21" t="s">
        <v>48</v>
      </c>
      <c r="G1" s="20" t="s">
        <v>49</v>
      </c>
      <c r="H1" s="20" t="s">
        <v>10</v>
      </c>
      <c r="I1" s="20" t="s">
        <v>11</v>
      </c>
      <c r="J1" s="20" t="s">
        <v>50</v>
      </c>
    </row>
    <row r="2" ht="56" spans="1:14">
      <c r="A2" s="22">
        <v>1</v>
      </c>
      <c r="B2" s="29" t="s">
        <v>809</v>
      </c>
      <c r="C2" s="22" t="str">
        <f>CONCATENATE("0x",DEC2HEX((A2)+28671,4))</f>
        <v>0x7000</v>
      </c>
      <c r="D2" s="22" t="s">
        <v>15</v>
      </c>
      <c r="E2" s="22" t="s">
        <v>52</v>
      </c>
      <c r="F2" s="22" t="s">
        <v>53</v>
      </c>
      <c r="G2" s="22">
        <v>1</v>
      </c>
      <c r="H2" s="22"/>
      <c r="I2" s="23" t="s">
        <v>810</v>
      </c>
      <c r="J2" s="30"/>
      <c r="K2" s="30"/>
      <c r="L2" s="30"/>
      <c r="M2" s="22"/>
      <c r="N2" s="22"/>
    </row>
    <row r="3" spans="1:14">
      <c r="A3" s="22">
        <v>2</v>
      </c>
      <c r="B3" s="23" t="s">
        <v>811</v>
      </c>
      <c r="C3" s="22" t="str">
        <f t="shared" ref="C3:C65" si="0">CONCATENATE("0x",DEC2HEX((A3)+28671,4))</f>
        <v>0x7001</v>
      </c>
      <c r="D3" s="22" t="s">
        <v>15</v>
      </c>
      <c r="E3" s="22" t="s">
        <v>52</v>
      </c>
      <c r="F3" s="22" t="s">
        <v>117</v>
      </c>
      <c r="G3" s="22">
        <v>1</v>
      </c>
      <c r="H3" s="22"/>
      <c r="I3" s="23"/>
      <c r="J3" s="30"/>
      <c r="K3" s="30"/>
      <c r="L3" s="30"/>
      <c r="M3" s="30"/>
      <c r="N3" s="22"/>
    </row>
    <row r="4" ht="28" spans="1:14">
      <c r="A4" s="22">
        <v>3</v>
      </c>
      <c r="B4" s="31" t="s">
        <v>812</v>
      </c>
      <c r="C4" s="22" t="str">
        <f t="shared" si="0"/>
        <v>0x7002</v>
      </c>
      <c r="D4" s="22" t="s">
        <v>15</v>
      </c>
      <c r="E4" s="22" t="s">
        <v>52</v>
      </c>
      <c r="F4" s="22" t="s">
        <v>117</v>
      </c>
      <c r="G4" s="22">
        <v>1</v>
      </c>
      <c r="H4" s="22"/>
      <c r="I4" s="23"/>
      <c r="J4" s="30"/>
      <c r="K4" s="30"/>
      <c r="L4" s="30"/>
      <c r="M4" s="22"/>
      <c r="N4" s="22"/>
    </row>
    <row r="5" ht="28" spans="1:14">
      <c r="A5" s="22">
        <v>4</v>
      </c>
      <c r="B5" s="31" t="s">
        <v>813</v>
      </c>
      <c r="C5" s="22" t="str">
        <f t="shared" si="0"/>
        <v>0x7003</v>
      </c>
      <c r="D5" s="22" t="s">
        <v>15</v>
      </c>
      <c r="E5" s="22" t="s">
        <v>52</v>
      </c>
      <c r="F5" s="22" t="s">
        <v>117</v>
      </c>
      <c r="G5" s="22">
        <v>1</v>
      </c>
      <c r="H5" s="22"/>
      <c r="I5" s="23"/>
      <c r="J5" s="30"/>
      <c r="K5" s="30"/>
      <c r="L5" s="30"/>
      <c r="M5" s="22"/>
      <c r="N5" s="22"/>
    </row>
    <row r="6" ht="28" spans="1:14">
      <c r="A6" s="22">
        <v>5</v>
      </c>
      <c r="B6" s="31" t="s">
        <v>814</v>
      </c>
      <c r="C6" s="22" t="str">
        <f t="shared" si="0"/>
        <v>0x7004</v>
      </c>
      <c r="D6" s="22" t="s">
        <v>15</v>
      </c>
      <c r="E6" s="22" t="s">
        <v>52</v>
      </c>
      <c r="F6" s="22" t="s">
        <v>117</v>
      </c>
      <c r="G6" s="22">
        <v>1</v>
      </c>
      <c r="H6" s="22"/>
      <c r="I6" s="23"/>
      <c r="J6" s="30"/>
      <c r="K6" s="30"/>
      <c r="L6" s="30"/>
      <c r="M6" s="30"/>
      <c r="N6" s="22"/>
    </row>
    <row r="7" ht="28" spans="1:14">
      <c r="A7" s="22">
        <v>6</v>
      </c>
      <c r="B7" s="31" t="s">
        <v>815</v>
      </c>
      <c r="C7" s="22" t="str">
        <f t="shared" si="0"/>
        <v>0x7005</v>
      </c>
      <c r="D7" s="22" t="s">
        <v>15</v>
      </c>
      <c r="E7" s="22" t="s">
        <v>52</v>
      </c>
      <c r="F7" s="22" t="s">
        <v>117</v>
      </c>
      <c r="G7" s="22">
        <v>1</v>
      </c>
      <c r="H7" s="22"/>
      <c r="I7" s="23"/>
      <c r="J7" s="30"/>
      <c r="K7" s="30"/>
      <c r="L7" s="30"/>
      <c r="M7" s="22"/>
      <c r="N7" s="22"/>
    </row>
    <row r="8" spans="1:14">
      <c r="A8" s="22">
        <v>7</v>
      </c>
      <c r="B8" s="31" t="s">
        <v>816</v>
      </c>
      <c r="C8" s="22" t="str">
        <f t="shared" si="0"/>
        <v>0x7006</v>
      </c>
      <c r="D8" s="22" t="s">
        <v>15</v>
      </c>
      <c r="E8" s="22" t="s">
        <v>52</v>
      </c>
      <c r="F8" s="22" t="s">
        <v>117</v>
      </c>
      <c r="G8" s="22">
        <v>1</v>
      </c>
      <c r="H8" s="22"/>
      <c r="I8" s="23"/>
      <c r="J8" s="30"/>
      <c r="K8" s="30"/>
      <c r="L8" s="30"/>
      <c r="M8" s="22"/>
      <c r="N8" s="22"/>
    </row>
    <row r="9" spans="1:14">
      <c r="A9" s="22">
        <v>8</v>
      </c>
      <c r="B9" s="32" t="s">
        <v>817</v>
      </c>
      <c r="C9" s="22" t="str">
        <f t="shared" si="0"/>
        <v>0x7007</v>
      </c>
      <c r="D9" s="22" t="s">
        <v>15</v>
      </c>
      <c r="E9" s="22" t="s">
        <v>52</v>
      </c>
      <c r="F9" s="22" t="s">
        <v>795</v>
      </c>
      <c r="G9" s="22">
        <v>0.001</v>
      </c>
      <c r="H9" s="22"/>
      <c r="I9" s="23"/>
      <c r="J9" s="30"/>
      <c r="K9" s="30"/>
      <c r="L9" s="30"/>
      <c r="M9" s="30"/>
      <c r="N9" s="22"/>
    </row>
    <row r="10" spans="1:14">
      <c r="A10" s="22">
        <v>9</v>
      </c>
      <c r="B10" s="32" t="s">
        <v>818</v>
      </c>
      <c r="C10" s="22" t="str">
        <f t="shared" si="0"/>
        <v>0x7008</v>
      </c>
      <c r="D10" s="22" t="s">
        <v>15</v>
      </c>
      <c r="E10" s="22" t="s">
        <v>52</v>
      </c>
      <c r="F10" s="22" t="s">
        <v>795</v>
      </c>
      <c r="G10" s="22">
        <v>0.001</v>
      </c>
      <c r="H10" s="22"/>
      <c r="I10" s="23"/>
      <c r="J10" s="30"/>
      <c r="K10" s="30"/>
      <c r="L10" s="30"/>
      <c r="M10" s="30"/>
      <c r="N10" s="22"/>
    </row>
    <row r="11" spans="1:14">
      <c r="A11" s="22">
        <v>10</v>
      </c>
      <c r="B11" s="32" t="s">
        <v>819</v>
      </c>
      <c r="C11" s="22" t="str">
        <f t="shared" si="0"/>
        <v>0x7009</v>
      </c>
      <c r="D11" s="22" t="s">
        <v>15</v>
      </c>
      <c r="E11" s="22" t="s">
        <v>52</v>
      </c>
      <c r="F11" s="22" t="s">
        <v>795</v>
      </c>
      <c r="G11" s="22">
        <v>0.001</v>
      </c>
      <c r="H11" s="22"/>
      <c r="I11" s="23"/>
      <c r="J11" s="30"/>
      <c r="K11" s="30"/>
      <c r="L11" s="30"/>
      <c r="M11" s="30"/>
      <c r="N11" s="22"/>
    </row>
    <row r="12" spans="1:14">
      <c r="A12" s="22">
        <v>11</v>
      </c>
      <c r="B12" s="32" t="s">
        <v>820</v>
      </c>
      <c r="C12" s="22" t="str">
        <f t="shared" si="0"/>
        <v>0x700A</v>
      </c>
      <c r="D12" s="22" t="s">
        <v>15</v>
      </c>
      <c r="E12" s="22" t="s">
        <v>52</v>
      </c>
      <c r="F12" s="22" t="s">
        <v>795</v>
      </c>
      <c r="G12" s="22">
        <v>0.001</v>
      </c>
      <c r="H12" s="22"/>
      <c r="I12" s="23"/>
      <c r="J12" s="30"/>
      <c r="K12" s="30"/>
      <c r="L12" s="30"/>
      <c r="M12" s="22"/>
      <c r="N12" s="22"/>
    </row>
    <row r="13" spans="1:14">
      <c r="A13" s="22">
        <v>12</v>
      </c>
      <c r="B13" s="32" t="s">
        <v>821</v>
      </c>
      <c r="C13" s="22" t="str">
        <f t="shared" si="0"/>
        <v>0x700B</v>
      </c>
      <c r="D13" s="22" t="s">
        <v>15</v>
      </c>
      <c r="E13" s="22" t="s">
        <v>52</v>
      </c>
      <c r="F13" s="22" t="s">
        <v>795</v>
      </c>
      <c r="G13" s="22">
        <v>0.001</v>
      </c>
      <c r="H13" s="22"/>
      <c r="I13" s="23"/>
      <c r="J13" s="30"/>
      <c r="K13" s="30"/>
      <c r="L13" s="30"/>
      <c r="M13" s="22"/>
      <c r="N13" s="22"/>
    </row>
    <row r="14" spans="1:14">
      <c r="A14" s="22">
        <v>13</v>
      </c>
      <c r="B14" s="32" t="s">
        <v>822</v>
      </c>
      <c r="C14" s="22" t="str">
        <f t="shared" si="0"/>
        <v>0x700C</v>
      </c>
      <c r="D14" s="22" t="s">
        <v>15</v>
      </c>
      <c r="E14" s="22" t="s">
        <v>52</v>
      </c>
      <c r="F14" s="22" t="s">
        <v>795</v>
      </c>
      <c r="G14" s="22">
        <v>0.001</v>
      </c>
      <c r="H14" s="22"/>
      <c r="I14" s="23"/>
      <c r="J14" s="30"/>
      <c r="K14" s="30"/>
      <c r="L14" s="30"/>
      <c r="M14" s="22"/>
      <c r="N14" s="22"/>
    </row>
    <row r="15" spans="1:14">
      <c r="A15" s="22">
        <v>14</v>
      </c>
      <c r="B15" s="23" t="s">
        <v>823</v>
      </c>
      <c r="C15" s="22" t="str">
        <f t="shared" si="0"/>
        <v>0x700D</v>
      </c>
      <c r="D15" s="22" t="s">
        <v>15</v>
      </c>
      <c r="E15" s="22" t="s">
        <v>52</v>
      </c>
      <c r="F15" s="22" t="s">
        <v>100</v>
      </c>
      <c r="G15" s="22">
        <v>0.01</v>
      </c>
      <c r="H15" s="22"/>
      <c r="I15" s="23"/>
      <c r="J15" s="30"/>
      <c r="K15" s="30"/>
      <c r="L15" s="30"/>
      <c r="M15" s="22"/>
      <c r="N15" s="22"/>
    </row>
    <row r="16" spans="1:14">
      <c r="A16" s="22">
        <v>15</v>
      </c>
      <c r="B16" s="23" t="s">
        <v>824</v>
      </c>
      <c r="C16" s="22" t="str">
        <f t="shared" si="0"/>
        <v>0x700E</v>
      </c>
      <c r="D16" s="22" t="s">
        <v>15</v>
      </c>
      <c r="E16" s="22" t="s">
        <v>84</v>
      </c>
      <c r="F16" s="22" t="s">
        <v>825</v>
      </c>
      <c r="G16" s="22">
        <v>0.01</v>
      </c>
      <c r="H16" s="22"/>
      <c r="I16" s="23" t="s">
        <v>38</v>
      </c>
      <c r="J16" s="30"/>
      <c r="K16" s="30"/>
      <c r="L16" s="30"/>
      <c r="M16" s="22"/>
      <c r="N16" s="22"/>
    </row>
    <row r="17" spans="1:14">
      <c r="A17" s="22">
        <v>16</v>
      </c>
      <c r="B17" s="23" t="s">
        <v>826</v>
      </c>
      <c r="C17" s="22" t="str">
        <f t="shared" si="0"/>
        <v>0x700F</v>
      </c>
      <c r="D17" s="22" t="s">
        <v>15</v>
      </c>
      <c r="E17" s="22" t="s">
        <v>52</v>
      </c>
      <c r="F17" s="22" t="s">
        <v>149</v>
      </c>
      <c r="G17" s="22">
        <v>0.01</v>
      </c>
      <c r="H17" s="22"/>
      <c r="I17" s="23"/>
      <c r="J17" s="30"/>
      <c r="K17" s="30"/>
      <c r="L17" s="30"/>
      <c r="M17" s="30"/>
      <c r="N17" s="22"/>
    </row>
    <row r="18" spans="1:14">
      <c r="A18" s="22">
        <v>17</v>
      </c>
      <c r="B18" s="23" t="s">
        <v>827</v>
      </c>
      <c r="C18" s="22" t="str">
        <f t="shared" si="0"/>
        <v>0x7010</v>
      </c>
      <c r="D18" s="22" t="s">
        <v>15</v>
      </c>
      <c r="E18" s="22" t="s">
        <v>52</v>
      </c>
      <c r="F18" s="22" t="s">
        <v>149</v>
      </c>
      <c r="G18" s="22">
        <v>0.01</v>
      </c>
      <c r="H18" s="22"/>
      <c r="I18" s="23"/>
      <c r="J18" s="30"/>
      <c r="K18" s="30"/>
      <c r="L18" s="30"/>
      <c r="M18" s="30"/>
      <c r="N18" s="22"/>
    </row>
    <row r="19" spans="1:14">
      <c r="A19" s="22">
        <v>18</v>
      </c>
      <c r="B19" s="23" t="s">
        <v>828</v>
      </c>
      <c r="C19" s="22" t="str">
        <f t="shared" si="0"/>
        <v>0x7011</v>
      </c>
      <c r="D19" s="22" t="s">
        <v>220</v>
      </c>
      <c r="E19" s="22" t="s">
        <v>84</v>
      </c>
      <c r="F19" s="118" t="s">
        <v>829</v>
      </c>
      <c r="G19" s="22">
        <v>0.1</v>
      </c>
      <c r="H19" s="22"/>
      <c r="I19" s="23" t="s">
        <v>38</v>
      </c>
      <c r="J19" s="30"/>
      <c r="K19" s="30"/>
      <c r="L19" s="30"/>
      <c r="M19" s="30"/>
      <c r="N19" s="22"/>
    </row>
    <row r="20" spans="1:14">
      <c r="A20" s="22">
        <v>19</v>
      </c>
      <c r="B20" s="23" t="s">
        <v>830</v>
      </c>
      <c r="C20" s="22" t="str">
        <f t="shared" si="0"/>
        <v>0x7012</v>
      </c>
      <c r="D20" s="22" t="s">
        <v>220</v>
      </c>
      <c r="E20" s="22" t="s">
        <v>84</v>
      </c>
      <c r="F20" s="118" t="s">
        <v>829</v>
      </c>
      <c r="G20" s="22">
        <v>0.1</v>
      </c>
      <c r="H20" s="22"/>
      <c r="I20" s="23" t="s">
        <v>38</v>
      </c>
      <c r="J20" s="30"/>
      <c r="K20" s="30"/>
      <c r="L20" s="30"/>
      <c r="M20" s="30"/>
      <c r="N20" s="22"/>
    </row>
    <row r="21" spans="1:14">
      <c r="A21" s="22">
        <v>20</v>
      </c>
      <c r="B21" s="32" t="s">
        <v>831</v>
      </c>
      <c r="C21" s="22" t="str">
        <f t="shared" si="0"/>
        <v>0x7013</v>
      </c>
      <c r="D21" s="22" t="s">
        <v>220</v>
      </c>
      <c r="E21" s="22" t="s">
        <v>84</v>
      </c>
      <c r="F21" s="118" t="s">
        <v>829</v>
      </c>
      <c r="G21" s="22" t="s">
        <v>86</v>
      </c>
      <c r="H21" s="22"/>
      <c r="I21" s="23" t="s">
        <v>38</v>
      </c>
      <c r="J21" s="30"/>
      <c r="K21" s="30"/>
      <c r="L21" s="30"/>
      <c r="M21" s="22"/>
      <c r="N21" s="22"/>
    </row>
    <row r="22" spans="1:14">
      <c r="A22" s="22">
        <v>21</v>
      </c>
      <c r="B22" s="32" t="s">
        <v>832</v>
      </c>
      <c r="C22" s="22" t="str">
        <f t="shared" si="0"/>
        <v>0x7014</v>
      </c>
      <c r="D22" s="22" t="s">
        <v>220</v>
      </c>
      <c r="E22" s="22" t="s">
        <v>84</v>
      </c>
      <c r="F22" s="118" t="s">
        <v>829</v>
      </c>
      <c r="G22" s="22" t="s">
        <v>86</v>
      </c>
      <c r="H22" s="22"/>
      <c r="I22" s="23" t="s">
        <v>38</v>
      </c>
      <c r="J22" s="30"/>
      <c r="K22" s="30"/>
      <c r="L22" s="30"/>
      <c r="M22" s="22"/>
      <c r="N22" s="22"/>
    </row>
    <row r="23" spans="1:14">
      <c r="A23" s="22">
        <v>22</v>
      </c>
      <c r="B23" s="32" t="s">
        <v>833</v>
      </c>
      <c r="C23" s="22" t="str">
        <f t="shared" si="0"/>
        <v>0x7015</v>
      </c>
      <c r="D23" s="22" t="s">
        <v>220</v>
      </c>
      <c r="E23" s="22" t="s">
        <v>84</v>
      </c>
      <c r="F23" s="118" t="s">
        <v>829</v>
      </c>
      <c r="G23" s="22" t="s">
        <v>86</v>
      </c>
      <c r="H23" s="22"/>
      <c r="I23" s="23" t="s">
        <v>38</v>
      </c>
      <c r="J23" s="30"/>
      <c r="K23" s="30"/>
      <c r="L23" s="30"/>
      <c r="M23" s="30"/>
      <c r="N23" s="22"/>
    </row>
    <row r="24" spans="1:14">
      <c r="A24" s="22">
        <v>23</v>
      </c>
      <c r="B24" s="32" t="s">
        <v>834</v>
      </c>
      <c r="C24" s="22" t="str">
        <f t="shared" si="0"/>
        <v>0x7016</v>
      </c>
      <c r="D24" s="22" t="s">
        <v>220</v>
      </c>
      <c r="E24" s="22" t="s">
        <v>84</v>
      </c>
      <c r="F24" s="118" t="s">
        <v>829</v>
      </c>
      <c r="G24" s="22" t="s">
        <v>86</v>
      </c>
      <c r="H24" s="22"/>
      <c r="I24" s="23" t="s">
        <v>38</v>
      </c>
      <c r="J24" s="30"/>
      <c r="K24" s="30"/>
      <c r="L24" s="30"/>
      <c r="M24" s="22"/>
      <c r="N24" s="22"/>
    </row>
    <row r="25" spans="1:14">
      <c r="A25" s="22">
        <v>24</v>
      </c>
      <c r="B25" s="32" t="s">
        <v>835</v>
      </c>
      <c r="C25" s="22" t="str">
        <f t="shared" si="0"/>
        <v>0x7017</v>
      </c>
      <c r="D25" s="22" t="s">
        <v>220</v>
      </c>
      <c r="E25" s="22" t="s">
        <v>84</v>
      </c>
      <c r="F25" s="118" t="s">
        <v>829</v>
      </c>
      <c r="G25" s="22" t="s">
        <v>86</v>
      </c>
      <c r="H25" s="22"/>
      <c r="I25" s="23" t="s">
        <v>38</v>
      </c>
      <c r="J25" s="30"/>
      <c r="K25" s="30"/>
      <c r="L25" s="30"/>
      <c r="M25" s="22"/>
      <c r="N25" s="22"/>
    </row>
    <row r="26" spans="1:14">
      <c r="A26" s="22">
        <v>25</v>
      </c>
      <c r="B26" s="32" t="s">
        <v>836</v>
      </c>
      <c r="C26" s="22" t="str">
        <f t="shared" si="0"/>
        <v>0x7018</v>
      </c>
      <c r="D26" s="22" t="s">
        <v>220</v>
      </c>
      <c r="E26" s="22" t="s">
        <v>84</v>
      </c>
      <c r="F26" s="118" t="s">
        <v>837</v>
      </c>
      <c r="G26" s="22" t="s">
        <v>86</v>
      </c>
      <c r="H26" s="22"/>
      <c r="I26" s="23"/>
      <c r="J26" s="30"/>
      <c r="K26" s="30"/>
      <c r="L26" s="30"/>
      <c r="M26" s="30"/>
      <c r="N26" s="22"/>
    </row>
    <row r="27" spans="1:14">
      <c r="A27" s="22">
        <v>26</v>
      </c>
      <c r="B27" s="32" t="s">
        <v>838</v>
      </c>
      <c r="C27" s="22" t="str">
        <f t="shared" si="0"/>
        <v>0x7019</v>
      </c>
      <c r="D27" s="22" t="s">
        <v>220</v>
      </c>
      <c r="E27" s="22" t="s">
        <v>84</v>
      </c>
      <c r="F27" s="118" t="s">
        <v>837</v>
      </c>
      <c r="G27" s="22" t="s">
        <v>86</v>
      </c>
      <c r="H27" s="22"/>
      <c r="I27" s="23"/>
      <c r="J27" s="30"/>
      <c r="K27" s="30"/>
      <c r="L27" s="30"/>
      <c r="M27" s="22"/>
      <c r="N27" s="22"/>
    </row>
    <row r="28" spans="1:14">
      <c r="A28" s="22">
        <v>27</v>
      </c>
      <c r="B28" s="32" t="s">
        <v>839</v>
      </c>
      <c r="C28" s="22" t="str">
        <f t="shared" si="0"/>
        <v>0x701A</v>
      </c>
      <c r="D28" s="22" t="s">
        <v>220</v>
      </c>
      <c r="E28" s="22" t="s">
        <v>84</v>
      </c>
      <c r="F28" s="118" t="s">
        <v>837</v>
      </c>
      <c r="G28" s="22" t="s">
        <v>86</v>
      </c>
      <c r="H28" s="22"/>
      <c r="I28" s="23"/>
      <c r="J28" s="30"/>
      <c r="K28" s="30"/>
      <c r="L28" s="30"/>
      <c r="M28" s="22"/>
      <c r="N28" s="22"/>
    </row>
    <row r="29" spans="1:14">
      <c r="A29" s="22">
        <v>28</v>
      </c>
      <c r="B29" s="32" t="s">
        <v>840</v>
      </c>
      <c r="C29" s="22" t="str">
        <f t="shared" si="0"/>
        <v>0x701B</v>
      </c>
      <c r="D29" s="22" t="s">
        <v>220</v>
      </c>
      <c r="E29" s="22" t="s">
        <v>84</v>
      </c>
      <c r="F29" s="118" t="s">
        <v>841</v>
      </c>
      <c r="G29" s="22" t="s">
        <v>86</v>
      </c>
      <c r="H29" s="22"/>
      <c r="I29" s="23"/>
    </row>
    <row r="30" spans="1:14">
      <c r="A30" s="22">
        <v>29</v>
      </c>
      <c r="B30" s="32" t="s">
        <v>842</v>
      </c>
      <c r="C30" s="22" t="str">
        <f t="shared" si="0"/>
        <v>0x701C</v>
      </c>
      <c r="D30" s="22" t="s">
        <v>220</v>
      </c>
      <c r="E30" s="22" t="s">
        <v>84</v>
      </c>
      <c r="F30" s="118" t="s">
        <v>841</v>
      </c>
      <c r="G30" s="22" t="s">
        <v>86</v>
      </c>
      <c r="H30" s="22"/>
      <c r="I30" s="23"/>
    </row>
    <row r="31" spans="1:14">
      <c r="A31" s="22">
        <v>30</v>
      </c>
      <c r="B31" s="32" t="s">
        <v>843</v>
      </c>
      <c r="C31" s="22" t="str">
        <f t="shared" si="0"/>
        <v>0x701D</v>
      </c>
      <c r="D31" s="22" t="s">
        <v>220</v>
      </c>
      <c r="E31" s="22" t="s">
        <v>84</v>
      </c>
      <c r="F31" s="118" t="s">
        <v>841</v>
      </c>
      <c r="G31" s="22" t="s">
        <v>86</v>
      </c>
      <c r="H31" s="22"/>
      <c r="I31" s="23"/>
    </row>
    <row r="32" spans="1:14">
      <c r="A32" s="22">
        <v>31</v>
      </c>
      <c r="B32" s="23" t="s">
        <v>844</v>
      </c>
      <c r="C32" s="22" t="str">
        <f t="shared" si="0"/>
        <v>0x701E</v>
      </c>
      <c r="D32" s="22" t="s">
        <v>220</v>
      </c>
      <c r="E32" s="22" t="s">
        <v>52</v>
      </c>
      <c r="F32" s="22" t="s">
        <v>117</v>
      </c>
      <c r="G32" s="22" t="s">
        <v>845</v>
      </c>
      <c r="H32" s="22"/>
      <c r="I32" s="23"/>
    </row>
    <row r="33" spans="1:9">
      <c r="A33" s="22">
        <v>32</v>
      </c>
      <c r="B33" s="23" t="s">
        <v>214</v>
      </c>
      <c r="C33" s="22" t="str">
        <f t="shared" si="0"/>
        <v>0x701F</v>
      </c>
      <c r="D33" s="22" t="s">
        <v>220</v>
      </c>
      <c r="E33" s="22" t="s">
        <v>84</v>
      </c>
      <c r="F33" s="118" t="s">
        <v>837</v>
      </c>
      <c r="G33" s="22" t="s">
        <v>86</v>
      </c>
      <c r="H33" s="22"/>
      <c r="I33" s="23"/>
    </row>
    <row r="34" ht="28" spans="1:9">
      <c r="A34" s="22">
        <v>33</v>
      </c>
      <c r="B34" s="32" t="s">
        <v>846</v>
      </c>
      <c r="C34" s="22" t="str">
        <f t="shared" si="0"/>
        <v>0x7020</v>
      </c>
      <c r="D34" s="22" t="s">
        <v>15</v>
      </c>
      <c r="E34" s="22" t="s">
        <v>52</v>
      </c>
      <c r="F34" s="22" t="s">
        <v>117</v>
      </c>
      <c r="G34" s="22">
        <v>1</v>
      </c>
      <c r="H34" s="22"/>
      <c r="I34" s="23" t="s">
        <v>847</v>
      </c>
    </row>
    <row r="35" spans="1:9">
      <c r="A35" s="22">
        <v>34</v>
      </c>
      <c r="B35" s="32" t="s">
        <v>848</v>
      </c>
      <c r="C35" s="22" t="str">
        <f t="shared" si="0"/>
        <v>0x7021</v>
      </c>
      <c r="D35" s="22" t="s">
        <v>15</v>
      </c>
      <c r="E35" s="22" t="s">
        <v>52</v>
      </c>
      <c r="F35" s="22" t="s">
        <v>298</v>
      </c>
      <c r="G35" s="22" t="s">
        <v>849</v>
      </c>
      <c r="H35" s="22"/>
      <c r="I35" s="23" t="s">
        <v>38</v>
      </c>
    </row>
    <row r="36" spans="1:9">
      <c r="A36" s="22">
        <v>35</v>
      </c>
      <c r="B36" s="32" t="s">
        <v>848</v>
      </c>
      <c r="C36" s="22" t="str">
        <f t="shared" si="0"/>
        <v>0x7022</v>
      </c>
      <c r="D36" s="22" t="s">
        <v>15</v>
      </c>
      <c r="E36" s="22" t="s">
        <v>52</v>
      </c>
      <c r="F36" s="22" t="s">
        <v>298</v>
      </c>
      <c r="G36" s="22" t="s">
        <v>849</v>
      </c>
      <c r="H36" s="22"/>
      <c r="I36" s="23" t="s">
        <v>38</v>
      </c>
    </row>
    <row r="37" spans="1:9">
      <c r="A37" s="22">
        <v>36</v>
      </c>
      <c r="B37" s="32" t="s">
        <v>850</v>
      </c>
      <c r="C37" s="22" t="str">
        <f t="shared" si="0"/>
        <v>0x7023</v>
      </c>
      <c r="D37" s="22" t="s">
        <v>15</v>
      </c>
      <c r="E37" s="22" t="s">
        <v>52</v>
      </c>
      <c r="F37" s="22" t="s">
        <v>298</v>
      </c>
      <c r="G37" s="22" t="s">
        <v>849</v>
      </c>
      <c r="H37" s="22"/>
      <c r="I37" s="23"/>
    </row>
    <row r="38" spans="1:9">
      <c r="A38" s="22">
        <v>37</v>
      </c>
      <c r="B38" s="32" t="s">
        <v>851</v>
      </c>
      <c r="C38" s="22" t="str">
        <f t="shared" si="0"/>
        <v>0x7024</v>
      </c>
      <c r="D38" s="22" t="s">
        <v>15</v>
      </c>
      <c r="E38" s="22" t="s">
        <v>52</v>
      </c>
      <c r="F38" s="22" t="s">
        <v>298</v>
      </c>
      <c r="G38" s="22" t="s">
        <v>849</v>
      </c>
      <c r="H38" s="22"/>
      <c r="I38" s="23"/>
    </row>
    <row r="39" spans="1:9">
      <c r="A39" s="22">
        <v>38</v>
      </c>
      <c r="B39" s="32" t="s">
        <v>852</v>
      </c>
      <c r="C39" s="22" t="str">
        <f t="shared" si="0"/>
        <v>0x7025</v>
      </c>
      <c r="D39" s="22" t="s">
        <v>15</v>
      </c>
      <c r="E39" s="22" t="s">
        <v>52</v>
      </c>
      <c r="F39" s="22" t="s">
        <v>298</v>
      </c>
      <c r="G39" s="22" t="s">
        <v>849</v>
      </c>
      <c r="H39" s="22"/>
      <c r="I39" s="23"/>
    </row>
    <row r="40" spans="1:9">
      <c r="A40" s="22">
        <v>39</v>
      </c>
      <c r="B40" s="32" t="s">
        <v>852</v>
      </c>
      <c r="C40" s="22" t="str">
        <f t="shared" si="0"/>
        <v>0x7026</v>
      </c>
      <c r="D40" s="22" t="s">
        <v>15</v>
      </c>
      <c r="E40" s="22" t="s">
        <v>52</v>
      </c>
      <c r="F40" s="22" t="s">
        <v>298</v>
      </c>
      <c r="G40" s="22" t="s">
        <v>849</v>
      </c>
      <c r="H40" s="22"/>
      <c r="I40" s="23"/>
    </row>
    <row r="41" spans="1:9">
      <c r="A41" s="22">
        <v>40</v>
      </c>
      <c r="B41" s="32" t="s">
        <v>853</v>
      </c>
      <c r="C41" s="22" t="str">
        <f t="shared" si="0"/>
        <v>0x7027</v>
      </c>
      <c r="D41" s="22" t="s">
        <v>220</v>
      </c>
      <c r="E41" s="22" t="s">
        <v>52</v>
      </c>
      <c r="F41" s="22" t="s">
        <v>298</v>
      </c>
      <c r="G41" s="22" t="s">
        <v>86</v>
      </c>
      <c r="H41" s="22"/>
      <c r="I41" s="23"/>
    </row>
    <row r="42" spans="1:9">
      <c r="A42" s="22">
        <v>41</v>
      </c>
      <c r="B42" s="32" t="s">
        <v>854</v>
      </c>
      <c r="C42" s="22" t="str">
        <f t="shared" si="0"/>
        <v>0x7028</v>
      </c>
      <c r="D42" s="22" t="s">
        <v>220</v>
      </c>
      <c r="E42" s="22" t="s">
        <v>52</v>
      </c>
      <c r="F42" s="22" t="s">
        <v>298</v>
      </c>
      <c r="G42" s="22" t="s">
        <v>86</v>
      </c>
      <c r="H42" s="22"/>
      <c r="I42" s="23"/>
    </row>
    <row r="43" spans="1:9">
      <c r="A43" s="22">
        <v>42</v>
      </c>
      <c r="B43" s="25" t="s">
        <v>855</v>
      </c>
      <c r="C43" s="22" t="str">
        <f t="shared" si="0"/>
        <v>0x7029</v>
      </c>
      <c r="D43" s="22" t="s">
        <v>220</v>
      </c>
      <c r="E43" s="22" t="s">
        <v>52</v>
      </c>
      <c r="F43" s="22" t="s">
        <v>117</v>
      </c>
      <c r="G43" s="22">
        <v>1</v>
      </c>
      <c r="H43" s="22"/>
      <c r="I43" s="23" t="s">
        <v>856</v>
      </c>
    </row>
    <row r="44" spans="1:9">
      <c r="A44" s="22">
        <v>43</v>
      </c>
      <c r="B44" s="25" t="s">
        <v>857</v>
      </c>
      <c r="C44" s="22" t="str">
        <f t="shared" si="0"/>
        <v>0x702A</v>
      </c>
      <c r="D44" s="22" t="s">
        <v>220</v>
      </c>
      <c r="E44" s="22" t="s">
        <v>52</v>
      </c>
      <c r="F44" s="22" t="s">
        <v>117</v>
      </c>
      <c r="G44" s="22">
        <v>1</v>
      </c>
      <c r="H44" s="22"/>
      <c r="I44" s="23"/>
    </row>
    <row r="45" spans="1:9">
      <c r="A45" s="22">
        <v>44</v>
      </c>
      <c r="B45" s="25" t="s">
        <v>858</v>
      </c>
      <c r="C45" s="22" t="str">
        <f t="shared" si="0"/>
        <v>0x702B</v>
      </c>
      <c r="D45" s="22" t="s">
        <v>220</v>
      </c>
      <c r="E45" s="22" t="s">
        <v>52</v>
      </c>
      <c r="F45" s="22" t="s">
        <v>117</v>
      </c>
      <c r="G45" s="22">
        <v>1</v>
      </c>
      <c r="H45" s="22"/>
      <c r="I45" s="23"/>
    </row>
    <row r="46" spans="1:9">
      <c r="A46" s="22">
        <v>45</v>
      </c>
      <c r="B46" s="25" t="s">
        <v>859</v>
      </c>
      <c r="C46" s="22" t="str">
        <f t="shared" si="0"/>
        <v>0x702C</v>
      </c>
      <c r="D46" s="22" t="s">
        <v>220</v>
      </c>
      <c r="E46" s="22" t="s">
        <v>52</v>
      </c>
      <c r="F46" s="22" t="s">
        <v>117</v>
      </c>
      <c r="G46" s="22">
        <v>1</v>
      </c>
      <c r="H46" s="22"/>
      <c r="I46" s="23"/>
    </row>
    <row r="47" spans="1:9">
      <c r="A47" s="22">
        <v>46</v>
      </c>
      <c r="B47" s="25" t="s">
        <v>38</v>
      </c>
      <c r="C47" s="22" t="str">
        <f t="shared" si="0"/>
        <v>0x702D</v>
      </c>
      <c r="D47" s="22" t="s">
        <v>220</v>
      </c>
      <c r="E47" s="22" t="s">
        <v>52</v>
      </c>
      <c r="F47" s="22" t="s">
        <v>117</v>
      </c>
      <c r="G47" s="22">
        <v>1</v>
      </c>
      <c r="H47" s="22"/>
      <c r="I47" s="23" t="s">
        <v>38</v>
      </c>
    </row>
    <row r="48" spans="1:9">
      <c r="A48" s="22">
        <v>47</v>
      </c>
      <c r="B48" s="25" t="s">
        <v>38</v>
      </c>
      <c r="C48" s="22" t="str">
        <f t="shared" si="0"/>
        <v>0x702E</v>
      </c>
      <c r="D48" s="22" t="s">
        <v>220</v>
      </c>
      <c r="E48" s="22" t="s">
        <v>52</v>
      </c>
      <c r="F48" s="22" t="s">
        <v>117</v>
      </c>
      <c r="G48" s="22">
        <v>1</v>
      </c>
      <c r="H48" s="22"/>
      <c r="I48" s="23" t="s">
        <v>38</v>
      </c>
    </row>
    <row r="49" spans="1:11">
      <c r="A49" s="22">
        <v>48</v>
      </c>
      <c r="B49" s="25" t="s">
        <v>38</v>
      </c>
      <c r="C49" s="22" t="str">
        <f t="shared" si="0"/>
        <v>0x702F</v>
      </c>
      <c r="D49" s="22" t="s">
        <v>220</v>
      </c>
      <c r="E49" s="22" t="s">
        <v>52</v>
      </c>
      <c r="F49" s="22" t="s">
        <v>117</v>
      </c>
      <c r="G49" s="22">
        <v>1</v>
      </c>
      <c r="H49" s="22"/>
      <c r="I49" s="23" t="s">
        <v>38</v>
      </c>
    </row>
    <row r="50" spans="1:11">
      <c r="A50" s="22">
        <v>49</v>
      </c>
      <c r="B50" s="25" t="s">
        <v>860</v>
      </c>
      <c r="C50" s="22" t="str">
        <f t="shared" si="0"/>
        <v>0x7030</v>
      </c>
      <c r="D50" s="22" t="s">
        <v>220</v>
      </c>
      <c r="E50" s="22" t="s">
        <v>52</v>
      </c>
      <c r="F50" s="22" t="s">
        <v>117</v>
      </c>
      <c r="G50" s="22">
        <v>1</v>
      </c>
      <c r="H50" s="22"/>
      <c r="I50" s="23"/>
    </row>
    <row r="51" spans="1:11">
      <c r="A51" s="22">
        <v>50</v>
      </c>
      <c r="B51" s="25" t="s">
        <v>861</v>
      </c>
      <c r="C51" s="22" t="str">
        <f t="shared" si="0"/>
        <v>0x7031</v>
      </c>
      <c r="D51" s="22" t="s">
        <v>220</v>
      </c>
      <c r="E51" s="22" t="s">
        <v>52</v>
      </c>
      <c r="F51" s="22" t="s">
        <v>117</v>
      </c>
      <c r="G51" s="22">
        <v>1</v>
      </c>
      <c r="H51" s="22"/>
      <c r="I51" s="23"/>
    </row>
    <row r="52" spans="1:11">
      <c r="A52" s="33">
        <v>51</v>
      </c>
      <c r="B52" s="34" t="s">
        <v>862</v>
      </c>
      <c r="C52" s="35" t="str">
        <f t="shared" si="0"/>
        <v>0x7032</v>
      </c>
      <c r="D52" s="33" t="s">
        <v>220</v>
      </c>
      <c r="E52" s="33" t="s">
        <v>52</v>
      </c>
      <c r="F52" s="35" t="s">
        <v>100</v>
      </c>
      <c r="G52" s="35">
        <v>1</v>
      </c>
      <c r="H52" s="35">
        <v>1</v>
      </c>
      <c r="I52" s="36" t="s">
        <v>863</v>
      </c>
      <c r="J52" s="37">
        <v>1</v>
      </c>
      <c r="K52" s="37"/>
    </row>
    <row r="53" spans="1:11">
      <c r="A53" s="33">
        <v>52</v>
      </c>
      <c r="B53" s="38" t="s">
        <v>38</v>
      </c>
      <c r="C53" s="35" t="str">
        <f t="shared" si="0"/>
        <v>0x7033</v>
      </c>
      <c r="D53" s="33" t="s">
        <v>220</v>
      </c>
      <c r="E53" s="33" t="s">
        <v>52</v>
      </c>
      <c r="F53" s="35"/>
      <c r="G53" s="35"/>
      <c r="H53" s="35"/>
      <c r="I53" s="36"/>
      <c r="J53" s="37"/>
      <c r="K53" s="37"/>
    </row>
    <row r="54" spans="1:11">
      <c r="A54" s="33">
        <v>53</v>
      </c>
      <c r="B54" s="38" t="s">
        <v>38</v>
      </c>
      <c r="C54" s="35" t="str">
        <f t="shared" si="0"/>
        <v>0x7034</v>
      </c>
      <c r="D54" s="33" t="s">
        <v>220</v>
      </c>
      <c r="E54" s="33" t="s">
        <v>52</v>
      </c>
      <c r="F54" s="33"/>
      <c r="G54" s="33"/>
      <c r="H54" s="33"/>
      <c r="I54" s="34"/>
      <c r="J54" s="33"/>
      <c r="K54" s="33"/>
    </row>
    <row r="55" spans="1:11">
      <c r="A55" s="33">
        <v>54</v>
      </c>
      <c r="B55" s="34" t="s">
        <v>864</v>
      </c>
      <c r="C55" s="35" t="str">
        <f t="shared" si="0"/>
        <v>0x7035</v>
      </c>
      <c r="D55" s="33" t="s">
        <v>15</v>
      </c>
      <c r="E55" s="33" t="s">
        <v>52</v>
      </c>
      <c r="F55" s="33" t="s">
        <v>865</v>
      </c>
      <c r="G55" s="33">
        <v>1</v>
      </c>
      <c r="H55" s="33"/>
      <c r="I55" s="34" t="s">
        <v>866</v>
      </c>
      <c r="J55" s="33">
        <v>1</v>
      </c>
      <c r="K55" s="33"/>
    </row>
    <row r="56" spans="1:11">
      <c r="A56" s="33">
        <v>55</v>
      </c>
      <c r="B56" s="34" t="s">
        <v>867</v>
      </c>
      <c r="C56" s="35" t="str">
        <f t="shared" si="0"/>
        <v>0x7036</v>
      </c>
      <c r="D56" s="33" t="s">
        <v>15</v>
      </c>
      <c r="E56" s="33" t="s">
        <v>52</v>
      </c>
      <c r="F56" s="33" t="s">
        <v>868</v>
      </c>
      <c r="G56" s="33">
        <v>0.1</v>
      </c>
      <c r="H56" s="33"/>
      <c r="I56" s="34" t="s">
        <v>869</v>
      </c>
      <c r="J56" s="33">
        <v>1</v>
      </c>
      <c r="K56" s="33"/>
    </row>
    <row r="57" ht="28" spans="1:11">
      <c r="A57" s="22">
        <v>56</v>
      </c>
      <c r="B57" s="32" t="s">
        <v>870</v>
      </c>
      <c r="C57" s="39" t="str">
        <f t="shared" si="0"/>
        <v>0x7037</v>
      </c>
      <c r="D57" s="22" t="s">
        <v>15</v>
      </c>
      <c r="E57" s="22" t="s">
        <v>52</v>
      </c>
      <c r="F57" s="22" t="s">
        <v>100</v>
      </c>
      <c r="G57" s="22">
        <v>1</v>
      </c>
      <c r="H57" s="22"/>
      <c r="I57" s="23" t="s">
        <v>871</v>
      </c>
      <c r="J57" s="22"/>
      <c r="K57" s="22"/>
    </row>
    <row r="58" ht="28" spans="1:11">
      <c r="A58" s="22">
        <v>57</v>
      </c>
      <c r="B58" s="32" t="s">
        <v>872</v>
      </c>
      <c r="C58" s="39" t="str">
        <f t="shared" si="0"/>
        <v>0x7038</v>
      </c>
      <c r="D58" s="22" t="s">
        <v>220</v>
      </c>
      <c r="E58" s="22" t="s">
        <v>52</v>
      </c>
      <c r="F58" s="22" t="s">
        <v>868</v>
      </c>
      <c r="G58" s="22">
        <v>0.1</v>
      </c>
      <c r="H58" s="22"/>
      <c r="I58" s="23" t="s">
        <v>873</v>
      </c>
      <c r="J58" s="22"/>
      <c r="K58" s="22"/>
    </row>
    <row r="59" spans="1:11">
      <c r="A59" s="22">
        <v>58</v>
      </c>
      <c r="B59" s="32" t="s">
        <v>874</v>
      </c>
      <c r="C59" s="39" t="str">
        <f t="shared" si="0"/>
        <v>0x7039</v>
      </c>
      <c r="D59" s="22" t="s">
        <v>15</v>
      </c>
      <c r="E59" s="22" t="s">
        <v>52</v>
      </c>
      <c r="F59" s="22" t="s">
        <v>868</v>
      </c>
      <c r="G59" s="22">
        <v>0.1</v>
      </c>
      <c r="H59" s="22"/>
      <c r="I59" s="23"/>
      <c r="J59" s="22">
        <v>1</v>
      </c>
      <c r="K59" s="22"/>
    </row>
    <row r="60" ht="28" spans="1:11">
      <c r="A60" s="22">
        <v>59</v>
      </c>
      <c r="B60" s="32" t="s">
        <v>875</v>
      </c>
      <c r="C60" s="39" t="str">
        <f t="shared" si="0"/>
        <v>0x703A</v>
      </c>
      <c r="D60" s="22" t="s">
        <v>220</v>
      </c>
      <c r="E60" s="22" t="s">
        <v>52</v>
      </c>
      <c r="F60" s="22" t="s">
        <v>868</v>
      </c>
      <c r="G60" s="22">
        <v>0.1</v>
      </c>
      <c r="H60" s="22"/>
      <c r="I60" s="23" t="s">
        <v>876</v>
      </c>
      <c r="J60" s="22"/>
      <c r="K60" s="22"/>
    </row>
    <row r="61" spans="1:11">
      <c r="A61" s="22">
        <v>60</v>
      </c>
      <c r="B61" s="32" t="s">
        <v>877</v>
      </c>
      <c r="C61" s="39" t="str">
        <f t="shared" si="0"/>
        <v>0x703B</v>
      </c>
      <c r="D61" s="22" t="s">
        <v>15</v>
      </c>
      <c r="E61" s="22" t="s">
        <v>52</v>
      </c>
      <c r="F61" s="22" t="s">
        <v>868</v>
      </c>
      <c r="G61" s="22">
        <v>0.1</v>
      </c>
      <c r="H61" s="22"/>
      <c r="I61" s="23" t="s">
        <v>878</v>
      </c>
      <c r="J61" s="22">
        <v>1</v>
      </c>
      <c r="K61" s="22"/>
    </row>
    <row r="62" ht="28" spans="1:11">
      <c r="A62" s="22">
        <v>61</v>
      </c>
      <c r="B62" s="32" t="s">
        <v>879</v>
      </c>
      <c r="C62" s="39" t="str">
        <f t="shared" si="0"/>
        <v>0x703C</v>
      </c>
      <c r="D62" s="22" t="s">
        <v>220</v>
      </c>
      <c r="E62" s="22" t="s">
        <v>52</v>
      </c>
      <c r="F62" s="22" t="s">
        <v>868</v>
      </c>
      <c r="G62" s="22">
        <v>0.1</v>
      </c>
      <c r="H62" s="22"/>
      <c r="I62" s="23" t="s">
        <v>880</v>
      </c>
      <c r="J62" s="22"/>
      <c r="K62" s="22"/>
    </row>
    <row r="63" spans="1:11">
      <c r="A63" s="22">
        <v>62</v>
      </c>
      <c r="B63" s="32" t="s">
        <v>881</v>
      </c>
      <c r="C63" s="39" t="str">
        <f t="shared" si="0"/>
        <v>0x703D</v>
      </c>
      <c r="D63" s="22" t="s">
        <v>15</v>
      </c>
      <c r="E63" s="22" t="s">
        <v>52</v>
      </c>
      <c r="F63" s="22" t="s">
        <v>868</v>
      </c>
      <c r="G63" s="22">
        <v>0.1</v>
      </c>
      <c r="H63" s="22"/>
      <c r="I63" s="23" t="s">
        <v>878</v>
      </c>
      <c r="J63" s="22">
        <v>1</v>
      </c>
      <c r="K63" s="22"/>
    </row>
    <row r="64" ht="28" spans="1:11">
      <c r="A64" s="22">
        <v>63</v>
      </c>
      <c r="B64" s="32" t="s">
        <v>882</v>
      </c>
      <c r="C64" s="39" t="str">
        <f t="shared" si="0"/>
        <v>0x703E</v>
      </c>
      <c r="D64" s="22" t="s">
        <v>220</v>
      </c>
      <c r="E64" s="22" t="s">
        <v>52</v>
      </c>
      <c r="F64" s="22" t="s">
        <v>883</v>
      </c>
      <c r="G64" s="22">
        <v>1</v>
      </c>
      <c r="H64" s="22"/>
      <c r="I64" s="23" t="s">
        <v>884</v>
      </c>
      <c r="J64" s="22"/>
      <c r="K64" s="22"/>
    </row>
    <row r="65" spans="1:11">
      <c r="A65" s="22">
        <v>64</v>
      </c>
      <c r="B65" s="32" t="s">
        <v>885</v>
      </c>
      <c r="C65" s="39" t="str">
        <f t="shared" si="0"/>
        <v>0x703F</v>
      </c>
      <c r="D65" s="22" t="s">
        <v>15</v>
      </c>
      <c r="E65" s="22" t="s">
        <v>52</v>
      </c>
      <c r="F65" s="22" t="s">
        <v>865</v>
      </c>
      <c r="G65" s="22">
        <v>1</v>
      </c>
      <c r="H65" s="22"/>
      <c r="I65" s="23" t="s">
        <v>866</v>
      </c>
      <c r="J65" s="22">
        <v>1</v>
      </c>
      <c r="K65" s="22"/>
    </row>
    <row r="66" spans="1:11">
      <c r="A66" s="22">
        <v>65</v>
      </c>
      <c r="B66" s="32" t="s">
        <v>886</v>
      </c>
      <c r="C66" s="39" t="str">
        <f t="shared" ref="C66:C91" si="1">CONCATENATE("0x",DEC2HEX((A66)+28671,4))</f>
        <v>0x7040</v>
      </c>
      <c r="D66" s="22" t="s">
        <v>15</v>
      </c>
      <c r="E66" s="22" t="s">
        <v>52</v>
      </c>
      <c r="F66" s="22" t="s">
        <v>868</v>
      </c>
      <c r="G66" s="22">
        <v>0.1</v>
      </c>
      <c r="H66" s="22"/>
      <c r="I66" s="23" t="s">
        <v>869</v>
      </c>
      <c r="J66" s="22">
        <v>1</v>
      </c>
      <c r="K66" s="22"/>
    </row>
    <row r="67" ht="28" spans="1:11">
      <c r="A67" s="33">
        <v>66</v>
      </c>
      <c r="B67" s="38" t="s">
        <v>887</v>
      </c>
      <c r="C67" s="35" t="str">
        <f t="shared" si="1"/>
        <v>0x7041</v>
      </c>
      <c r="D67" s="33" t="s">
        <v>220</v>
      </c>
      <c r="E67" s="33" t="s">
        <v>52</v>
      </c>
      <c r="F67" s="33" t="s">
        <v>883</v>
      </c>
      <c r="G67" s="33">
        <v>1</v>
      </c>
      <c r="H67" s="33"/>
      <c r="I67" s="34" t="s">
        <v>888</v>
      </c>
      <c r="J67" s="33"/>
      <c r="K67" s="33"/>
    </row>
    <row r="68" spans="1:11">
      <c r="A68" s="33">
        <v>67</v>
      </c>
      <c r="B68" s="34" t="s">
        <v>889</v>
      </c>
      <c r="C68" s="35" t="str">
        <f t="shared" si="1"/>
        <v>0x7042</v>
      </c>
      <c r="D68" s="33" t="s">
        <v>15</v>
      </c>
      <c r="E68" s="33" t="s">
        <v>52</v>
      </c>
      <c r="F68" s="33" t="s">
        <v>865</v>
      </c>
      <c r="G68" s="33">
        <v>1</v>
      </c>
      <c r="H68" s="33"/>
      <c r="I68" s="34" t="s">
        <v>866</v>
      </c>
      <c r="J68" s="33">
        <v>1</v>
      </c>
      <c r="K68" s="33"/>
    </row>
    <row r="69" spans="1:11">
      <c r="A69" s="33">
        <v>68</v>
      </c>
      <c r="B69" s="34" t="s">
        <v>890</v>
      </c>
      <c r="C69" s="35" t="str">
        <f t="shared" si="1"/>
        <v>0x7043</v>
      </c>
      <c r="D69" s="33" t="s">
        <v>15</v>
      </c>
      <c r="E69" s="33" t="s">
        <v>52</v>
      </c>
      <c r="F69" s="33" t="s">
        <v>868</v>
      </c>
      <c r="G69" s="33">
        <v>0.1</v>
      </c>
      <c r="H69" s="33"/>
      <c r="I69" s="34" t="s">
        <v>869</v>
      </c>
      <c r="J69" s="33">
        <v>1</v>
      </c>
      <c r="K69" s="33"/>
    </row>
    <row r="70" ht="56" spans="1:11">
      <c r="A70" s="33">
        <v>69</v>
      </c>
      <c r="B70" s="38" t="s">
        <v>891</v>
      </c>
      <c r="C70" s="35" t="str">
        <f t="shared" si="1"/>
        <v>0x7044</v>
      </c>
      <c r="D70" s="33" t="s">
        <v>15</v>
      </c>
      <c r="E70" s="33" t="s">
        <v>52</v>
      </c>
      <c r="F70" s="33" t="s">
        <v>53</v>
      </c>
      <c r="G70" s="33">
        <v>0.0001</v>
      </c>
      <c r="H70" s="33"/>
      <c r="I70" s="34" t="s">
        <v>892</v>
      </c>
      <c r="J70" s="33">
        <v>1</v>
      </c>
      <c r="K70" s="33"/>
    </row>
    <row r="71" spans="1:11">
      <c r="A71" s="22">
        <v>70</v>
      </c>
      <c r="B71" s="32" t="s">
        <v>893</v>
      </c>
      <c r="C71" s="39" t="str">
        <f t="shared" si="1"/>
        <v>0x7045</v>
      </c>
      <c r="D71" s="22" t="s">
        <v>15</v>
      </c>
      <c r="E71" s="22" t="s">
        <v>52</v>
      </c>
      <c r="F71" s="22" t="s">
        <v>53</v>
      </c>
      <c r="G71" s="22">
        <v>0.0001</v>
      </c>
      <c r="H71" s="22"/>
      <c r="I71" s="23" t="s">
        <v>894</v>
      </c>
      <c r="J71" s="22">
        <v>1</v>
      </c>
      <c r="K71" s="22"/>
    </row>
    <row r="72" spans="1:11">
      <c r="A72" s="22">
        <v>71</v>
      </c>
      <c r="B72" s="32" t="s">
        <v>895</v>
      </c>
      <c r="C72" s="39" t="str">
        <f t="shared" si="1"/>
        <v>0x7046</v>
      </c>
      <c r="D72" s="22" t="s">
        <v>15</v>
      </c>
      <c r="E72" s="22" t="s">
        <v>52</v>
      </c>
      <c r="F72" s="22" t="s">
        <v>53</v>
      </c>
      <c r="G72" s="22">
        <v>0.0001</v>
      </c>
      <c r="H72" s="22"/>
      <c r="I72" s="23" t="s">
        <v>894</v>
      </c>
      <c r="J72" s="22">
        <v>1</v>
      </c>
      <c r="K72" s="22"/>
    </row>
    <row r="73" spans="1:11">
      <c r="A73" s="22">
        <v>72</v>
      </c>
      <c r="B73" s="32" t="s">
        <v>896</v>
      </c>
      <c r="C73" s="39" t="str">
        <f t="shared" si="1"/>
        <v>0x7047</v>
      </c>
      <c r="D73" s="22" t="s">
        <v>15</v>
      </c>
      <c r="E73" s="22" t="s">
        <v>52</v>
      </c>
      <c r="F73" s="22" t="s">
        <v>53</v>
      </c>
      <c r="G73" s="22">
        <v>0.0001</v>
      </c>
      <c r="H73" s="22"/>
      <c r="I73" s="23" t="s">
        <v>894</v>
      </c>
      <c r="J73" s="22">
        <v>1</v>
      </c>
      <c r="K73" s="22"/>
    </row>
    <row r="74" spans="1:11">
      <c r="A74" s="22">
        <v>73</v>
      </c>
      <c r="B74" s="40" t="s">
        <v>897</v>
      </c>
      <c r="C74" s="39" t="str">
        <f t="shared" si="1"/>
        <v>0x7048</v>
      </c>
      <c r="D74" s="22" t="s">
        <v>15</v>
      </c>
      <c r="E74" s="22" t="s">
        <v>52</v>
      </c>
      <c r="F74" s="22"/>
      <c r="G74" s="22">
        <v>0.01</v>
      </c>
      <c r="H74" s="22"/>
      <c r="I74" s="23"/>
      <c r="J74" s="22"/>
      <c r="K74" s="22"/>
    </row>
    <row r="75" spans="1:11">
      <c r="A75" s="22">
        <v>74</v>
      </c>
      <c r="B75" s="40" t="s">
        <v>898</v>
      </c>
      <c r="C75" s="39" t="str">
        <f t="shared" si="1"/>
        <v>0x7049</v>
      </c>
      <c r="D75" s="22" t="s">
        <v>15</v>
      </c>
      <c r="E75" s="22" t="s">
        <v>52</v>
      </c>
      <c r="F75" s="22"/>
      <c r="G75" s="22">
        <v>0.001</v>
      </c>
      <c r="H75" s="22"/>
      <c r="I75" s="23"/>
    </row>
    <row r="76" spans="1:11">
      <c r="A76" s="22">
        <v>75</v>
      </c>
      <c r="B76" s="40" t="s">
        <v>899</v>
      </c>
      <c r="C76" s="39" t="str">
        <f t="shared" si="1"/>
        <v>0x704A</v>
      </c>
      <c r="D76" s="22" t="s">
        <v>15</v>
      </c>
      <c r="E76" s="22" t="s">
        <v>52</v>
      </c>
      <c r="F76" s="22"/>
      <c r="G76" s="22">
        <v>0.001</v>
      </c>
      <c r="H76" s="22"/>
      <c r="I76" s="23"/>
    </row>
    <row r="77" spans="1:11">
      <c r="A77" s="22">
        <v>76</v>
      </c>
      <c r="B77" s="40" t="s">
        <v>92</v>
      </c>
      <c r="C77" s="39" t="str">
        <f t="shared" si="1"/>
        <v>0x704B</v>
      </c>
      <c r="D77" s="22" t="s">
        <v>15</v>
      </c>
      <c r="E77" s="22" t="s">
        <v>52</v>
      </c>
      <c r="F77" s="22" t="s">
        <v>900</v>
      </c>
      <c r="G77" s="22">
        <v>1</v>
      </c>
      <c r="H77" s="22"/>
      <c r="I77" s="23"/>
    </row>
    <row r="78" ht="168" spans="1:11">
      <c r="A78" s="22">
        <v>77</v>
      </c>
      <c r="B78" s="32" t="s">
        <v>901</v>
      </c>
      <c r="C78" s="39" t="str">
        <f t="shared" si="1"/>
        <v>0x704C</v>
      </c>
      <c r="D78" s="22" t="s">
        <v>15</v>
      </c>
      <c r="E78" s="22" t="s">
        <v>52</v>
      </c>
      <c r="F78" s="22" t="s">
        <v>902</v>
      </c>
      <c r="G78" s="22">
        <v>1</v>
      </c>
      <c r="H78" s="22"/>
      <c r="I78" s="23" t="s">
        <v>903</v>
      </c>
    </row>
    <row r="79" ht="56" spans="1:11">
      <c r="A79" s="22">
        <v>78</v>
      </c>
      <c r="B79" s="32" t="s">
        <v>904</v>
      </c>
      <c r="C79" s="39" t="str">
        <f t="shared" si="1"/>
        <v>0x704D</v>
      </c>
      <c r="D79" s="22" t="s">
        <v>15</v>
      </c>
      <c r="E79" s="22" t="s">
        <v>52</v>
      </c>
      <c r="F79" s="22" t="s">
        <v>59</v>
      </c>
      <c r="G79" s="22">
        <v>1</v>
      </c>
      <c r="H79" s="22"/>
      <c r="I79" s="23" t="s">
        <v>905</v>
      </c>
    </row>
    <row r="80" ht="219.75" customHeight="1" spans="1:11">
      <c r="A80" s="33">
        <v>79</v>
      </c>
      <c r="B80" s="38" t="s">
        <v>906</v>
      </c>
      <c r="C80" s="35" t="str">
        <f t="shared" si="1"/>
        <v>0x704E</v>
      </c>
      <c r="D80" s="33" t="s">
        <v>15</v>
      </c>
      <c r="E80" s="33" t="s">
        <v>52</v>
      </c>
      <c r="F80" s="33" t="s">
        <v>907</v>
      </c>
      <c r="G80" s="33">
        <v>1</v>
      </c>
      <c r="H80" s="33"/>
      <c r="I80" s="34" t="s">
        <v>908</v>
      </c>
      <c r="J80" s="35"/>
    </row>
    <row r="81" ht="20" customHeight="1" spans="1:10">
      <c r="A81" s="33">
        <v>80</v>
      </c>
      <c r="B81" s="34" t="s">
        <v>38</v>
      </c>
      <c r="C81" s="35" t="str">
        <f t="shared" si="1"/>
        <v>0x704F</v>
      </c>
      <c r="D81" s="33"/>
      <c r="E81" s="33"/>
      <c r="F81" s="33"/>
      <c r="G81" s="33"/>
      <c r="H81" s="33"/>
      <c r="I81" s="34"/>
      <c r="J81" s="35"/>
    </row>
    <row r="82" spans="1:10">
      <c r="A82" s="33">
        <v>81</v>
      </c>
      <c r="B82" s="38" t="s">
        <v>909</v>
      </c>
      <c r="C82" s="35" t="str">
        <f t="shared" si="1"/>
        <v>0x7050</v>
      </c>
      <c r="D82" s="33" t="s">
        <v>15</v>
      </c>
      <c r="E82" s="33" t="s">
        <v>52</v>
      </c>
      <c r="F82" s="33" t="s">
        <v>53</v>
      </c>
      <c r="G82" s="33">
        <v>0.0001</v>
      </c>
      <c r="H82" s="33"/>
      <c r="I82" s="34" t="s">
        <v>910</v>
      </c>
      <c r="J82" s="35">
        <v>1</v>
      </c>
    </row>
    <row r="83" spans="1:10">
      <c r="A83" s="33">
        <v>82</v>
      </c>
      <c r="B83" s="38" t="s">
        <v>911</v>
      </c>
      <c r="C83" s="35" t="str">
        <f t="shared" si="1"/>
        <v>0x7051</v>
      </c>
      <c r="D83" s="33" t="s">
        <v>15</v>
      </c>
      <c r="E83" s="33" t="s">
        <v>52</v>
      </c>
      <c r="F83" s="33" t="s">
        <v>53</v>
      </c>
      <c r="G83" s="33">
        <v>0.0001</v>
      </c>
      <c r="H83" s="33"/>
      <c r="I83" s="34" t="s">
        <v>912</v>
      </c>
      <c r="J83" s="35">
        <v>1</v>
      </c>
    </row>
    <row r="84" s="27" customFormat="1" spans="1:10">
      <c r="A84" s="41">
        <v>83</v>
      </c>
      <c r="B84" s="42" t="s">
        <v>913</v>
      </c>
      <c r="C84" s="43" t="str">
        <f t="shared" si="1"/>
        <v>0x7052</v>
      </c>
      <c r="D84" s="41" t="s">
        <v>15</v>
      </c>
      <c r="E84" s="41" t="s">
        <v>52</v>
      </c>
      <c r="F84" s="41" t="s">
        <v>53</v>
      </c>
      <c r="G84" s="41">
        <v>0.0001</v>
      </c>
      <c r="H84" s="41"/>
      <c r="I84" s="44" t="s">
        <v>914</v>
      </c>
      <c r="J84" s="43">
        <v>1</v>
      </c>
    </row>
    <row r="85" spans="1:10">
      <c r="A85" s="22">
        <v>84</v>
      </c>
      <c r="B85" s="45" t="s">
        <v>38</v>
      </c>
      <c r="C85" s="39" t="str">
        <f t="shared" si="1"/>
        <v>0x7053</v>
      </c>
      <c r="D85" s="22"/>
      <c r="E85" s="22" t="s">
        <v>52</v>
      </c>
      <c r="F85" s="22"/>
      <c r="G85" s="22"/>
      <c r="H85" s="22"/>
      <c r="I85" s="23" t="s">
        <v>38</v>
      </c>
      <c r="J85" s="39"/>
    </row>
    <row r="86" spans="1:10">
      <c r="A86" s="22">
        <v>85</v>
      </c>
      <c r="B86" s="45" t="s">
        <v>38</v>
      </c>
      <c r="C86" s="39" t="str">
        <f t="shared" si="1"/>
        <v>0x7054</v>
      </c>
      <c r="D86" s="22"/>
      <c r="E86" s="22" t="s">
        <v>52</v>
      </c>
      <c r="F86" s="22"/>
      <c r="G86" s="22"/>
      <c r="H86" s="22"/>
      <c r="I86" s="23" t="s">
        <v>38</v>
      </c>
      <c r="J86" s="39"/>
    </row>
    <row r="87" spans="1:10">
      <c r="A87" s="22">
        <v>86</v>
      </c>
      <c r="B87" s="45" t="s">
        <v>38</v>
      </c>
      <c r="C87" s="39" t="str">
        <f t="shared" si="1"/>
        <v>0x7055</v>
      </c>
      <c r="D87" s="22"/>
      <c r="E87" s="22" t="s">
        <v>52</v>
      </c>
      <c r="F87" s="22"/>
      <c r="G87" s="22"/>
      <c r="H87" s="22"/>
      <c r="I87" s="23" t="s">
        <v>38</v>
      </c>
      <c r="J87" s="39"/>
    </row>
    <row r="88" spans="1:10">
      <c r="A88" s="22">
        <v>87</v>
      </c>
      <c r="B88" s="45" t="s">
        <v>38</v>
      </c>
      <c r="C88" s="39" t="str">
        <f t="shared" si="1"/>
        <v>0x7056</v>
      </c>
      <c r="D88" s="22"/>
      <c r="E88" s="22" t="s">
        <v>52</v>
      </c>
      <c r="F88" s="22"/>
      <c r="G88" s="22"/>
      <c r="H88" s="22"/>
      <c r="I88" s="23" t="s">
        <v>38</v>
      </c>
      <c r="J88" s="39"/>
    </row>
    <row r="89" spans="1:10">
      <c r="A89" s="22">
        <v>88</v>
      </c>
      <c r="B89" s="45" t="s">
        <v>38</v>
      </c>
      <c r="C89" s="39" t="str">
        <f t="shared" si="1"/>
        <v>0x7057</v>
      </c>
      <c r="D89" s="22"/>
      <c r="E89" s="22" t="s">
        <v>52</v>
      </c>
      <c r="F89" s="22"/>
      <c r="G89" s="22"/>
      <c r="H89" s="22"/>
      <c r="I89" s="23" t="s">
        <v>38</v>
      </c>
      <c r="J89" s="39"/>
    </row>
    <row r="90" spans="1:10">
      <c r="A90" s="22">
        <v>89</v>
      </c>
      <c r="B90" s="45" t="s">
        <v>38</v>
      </c>
      <c r="C90" s="39" t="str">
        <f t="shared" si="1"/>
        <v>0x7058</v>
      </c>
      <c r="D90" s="22"/>
      <c r="E90" s="22" t="s">
        <v>52</v>
      </c>
      <c r="F90" s="22"/>
      <c r="G90" s="22"/>
      <c r="H90" s="22"/>
      <c r="I90" s="23" t="s">
        <v>38</v>
      </c>
      <c r="J90" s="39"/>
    </row>
    <row r="91" spans="1:10">
      <c r="A91" s="22">
        <v>90</v>
      </c>
      <c r="B91" s="45" t="s">
        <v>38</v>
      </c>
      <c r="C91" s="39" t="str">
        <f t="shared" si="1"/>
        <v>0x7059</v>
      </c>
      <c r="D91" s="22"/>
      <c r="E91" s="22" t="s">
        <v>52</v>
      </c>
      <c r="F91" s="22"/>
      <c r="G91" s="22"/>
      <c r="H91" s="22"/>
      <c r="I91" s="23" t="s">
        <v>38</v>
      </c>
      <c r="J91" s="39"/>
    </row>
    <row r="92" spans="1:10">
      <c r="B92" s="32"/>
      <c r="C92" s="39"/>
      <c r="D92" s="22"/>
      <c r="E92" s="22"/>
      <c r="F92" s="22"/>
      <c r="G92" s="22"/>
      <c r="H92" s="22"/>
      <c r="I92" s="23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5"/>
  <sheetViews>
    <sheetView workbookViewId="0">
      <selection activeCell="B51" sqref="B51"/>
    </sheetView>
  </sheetViews>
  <sheetFormatPr defaultColWidth="8.66666666666667" defaultRowHeight="14" outlineLevelCol="7"/>
  <cols>
    <col min="2" max="2" width="19.5" customWidth="1"/>
    <col min="8" max="8" width="33.9166666666667" customWidth="1"/>
  </cols>
  <sheetData>
    <row r="1" spans="1:8">
      <c r="A1" s="20" t="s">
        <v>4</v>
      </c>
      <c r="B1" s="20" t="s">
        <v>5</v>
      </c>
      <c r="C1" s="20" t="s">
        <v>6</v>
      </c>
      <c r="D1" s="20" t="s">
        <v>8</v>
      </c>
      <c r="E1" s="20" t="s">
        <v>9</v>
      </c>
      <c r="F1" s="21" t="s">
        <v>48</v>
      </c>
      <c r="G1" s="20" t="s">
        <v>49</v>
      </c>
      <c r="H1" s="20" t="s">
        <v>11</v>
      </c>
    </row>
    <row r="2" ht="28" spans="1:8">
      <c r="A2" s="22">
        <v>1</v>
      </c>
      <c r="B2" s="23" t="s">
        <v>915</v>
      </c>
      <c r="C2" s="22" t="str">
        <f t="shared" ref="C2:C54" si="0">CONCATENATE("0x",DEC2HEX((A2)+57343,4))</f>
        <v>0xE000</v>
      </c>
      <c r="D2" s="22" t="s">
        <v>15</v>
      </c>
      <c r="E2" s="22" t="s">
        <v>52</v>
      </c>
      <c r="F2" s="22" t="s">
        <v>117</v>
      </c>
      <c r="G2" s="22">
        <v>1</v>
      </c>
      <c r="H2" s="23" t="s">
        <v>916</v>
      </c>
    </row>
    <row r="3" spans="1:8">
      <c r="A3" s="22">
        <v>2</v>
      </c>
      <c r="B3" s="23" t="s">
        <v>917</v>
      </c>
      <c r="C3" s="22" t="str">
        <f t="shared" si="0"/>
        <v>0xE001</v>
      </c>
      <c r="D3" s="22" t="s">
        <v>15</v>
      </c>
      <c r="E3" s="22" t="s">
        <v>52</v>
      </c>
      <c r="F3" s="22" t="s">
        <v>117</v>
      </c>
      <c r="G3" s="22">
        <v>1</v>
      </c>
      <c r="H3" s="23" t="s">
        <v>918</v>
      </c>
    </row>
    <row r="4" spans="1:8">
      <c r="A4" s="22">
        <v>3</v>
      </c>
      <c r="B4" s="23" t="s">
        <v>919</v>
      </c>
      <c r="C4" s="22" t="str">
        <f t="shared" si="0"/>
        <v>0xE002</v>
      </c>
      <c r="D4" s="22" t="s">
        <v>15</v>
      </c>
      <c r="E4" s="22" t="s">
        <v>52</v>
      </c>
      <c r="F4" s="22" t="s">
        <v>117</v>
      </c>
      <c r="G4" s="22">
        <v>1</v>
      </c>
      <c r="H4" s="23"/>
    </row>
    <row r="5" ht="28" spans="1:8">
      <c r="A5" s="22">
        <v>4</v>
      </c>
      <c r="B5" s="23" t="s">
        <v>920</v>
      </c>
      <c r="C5" s="22" t="str">
        <f t="shared" si="0"/>
        <v>0xE003</v>
      </c>
      <c r="D5" s="22" t="s">
        <v>15</v>
      </c>
      <c r="E5" s="22" t="s">
        <v>52</v>
      </c>
      <c r="F5" s="22" t="s">
        <v>117</v>
      </c>
      <c r="G5" s="22">
        <v>1</v>
      </c>
      <c r="H5" s="23"/>
    </row>
    <row r="6" spans="1:8">
      <c r="A6" s="22">
        <v>5</v>
      </c>
      <c r="B6" s="23" t="s">
        <v>921</v>
      </c>
      <c r="C6" s="22" t="str">
        <f t="shared" si="0"/>
        <v>0xE004</v>
      </c>
      <c r="D6" s="22" t="s">
        <v>15</v>
      </c>
      <c r="E6" s="22" t="s">
        <v>52</v>
      </c>
      <c r="F6" s="22" t="s">
        <v>117</v>
      </c>
      <c r="G6" s="22">
        <v>1</v>
      </c>
      <c r="H6" s="23"/>
    </row>
    <row r="7" spans="1:8">
      <c r="A7" s="22">
        <v>6</v>
      </c>
      <c r="B7" s="23" t="s">
        <v>922</v>
      </c>
      <c r="C7" s="22" t="str">
        <f t="shared" si="0"/>
        <v>0xE005</v>
      </c>
      <c r="D7" s="22" t="s">
        <v>15</v>
      </c>
      <c r="E7" s="22" t="s">
        <v>52</v>
      </c>
      <c r="F7" s="22" t="s">
        <v>117</v>
      </c>
      <c r="G7" s="22">
        <v>1</v>
      </c>
      <c r="H7" s="23"/>
    </row>
    <row r="8" spans="1:8">
      <c r="A8" s="22">
        <v>7</v>
      </c>
      <c r="B8" s="23" t="s">
        <v>923</v>
      </c>
      <c r="C8" s="22" t="str">
        <f t="shared" si="0"/>
        <v>0xE006</v>
      </c>
      <c r="D8" s="22" t="s">
        <v>15</v>
      </c>
      <c r="E8" s="22" t="s">
        <v>52</v>
      </c>
      <c r="F8" s="22" t="s">
        <v>260</v>
      </c>
      <c r="G8" s="22">
        <v>1</v>
      </c>
      <c r="H8" s="23" t="s">
        <v>823</v>
      </c>
    </row>
    <row r="9" spans="1:8">
      <c r="A9" s="22">
        <v>8</v>
      </c>
      <c r="B9" s="23" t="s">
        <v>924</v>
      </c>
      <c r="C9" s="22" t="str">
        <f t="shared" si="0"/>
        <v>0xE007</v>
      </c>
      <c r="D9" s="22" t="s">
        <v>15</v>
      </c>
      <c r="E9" s="22" t="s">
        <v>52</v>
      </c>
      <c r="F9" s="22" t="s">
        <v>117</v>
      </c>
      <c r="G9" s="22">
        <v>1</v>
      </c>
      <c r="H9" s="23"/>
    </row>
    <row r="10" ht="28" spans="1:8">
      <c r="A10" s="22">
        <v>9</v>
      </c>
      <c r="B10" s="23" t="s">
        <v>925</v>
      </c>
      <c r="C10" s="22" t="str">
        <f t="shared" si="0"/>
        <v>0xE008</v>
      </c>
      <c r="D10" s="22" t="s">
        <v>15</v>
      </c>
      <c r="E10" s="22" t="s">
        <v>52</v>
      </c>
      <c r="F10" s="22" t="s">
        <v>117</v>
      </c>
      <c r="G10" s="22">
        <v>1</v>
      </c>
      <c r="H10" s="23" t="s">
        <v>926</v>
      </c>
    </row>
    <row r="11" customHeight="1" spans="1:8">
      <c r="A11" s="22">
        <v>10</v>
      </c>
      <c r="B11" s="23" t="s">
        <v>927</v>
      </c>
      <c r="C11" s="22" t="str">
        <f t="shared" si="0"/>
        <v>0xE009</v>
      </c>
      <c r="D11" s="22" t="s">
        <v>15</v>
      </c>
      <c r="E11" s="22" t="s">
        <v>52</v>
      </c>
      <c r="F11" s="22" t="s">
        <v>117</v>
      </c>
      <c r="G11" s="22">
        <v>1</v>
      </c>
      <c r="H11" s="23"/>
    </row>
    <row r="12" spans="1:8">
      <c r="A12" s="22">
        <v>11</v>
      </c>
      <c r="B12" s="23" t="s">
        <v>928</v>
      </c>
      <c r="C12" s="22" t="str">
        <f t="shared" si="0"/>
        <v>0xE00A</v>
      </c>
      <c r="D12" s="22" t="s">
        <v>15</v>
      </c>
      <c r="E12" s="22" t="s">
        <v>52</v>
      </c>
      <c r="F12" s="22" t="s">
        <v>117</v>
      </c>
      <c r="G12" s="22">
        <v>1</v>
      </c>
      <c r="H12" s="23" t="s">
        <v>929</v>
      </c>
    </row>
    <row r="13" spans="1:8">
      <c r="A13" s="22">
        <v>12</v>
      </c>
      <c r="B13" s="23" t="s">
        <v>930</v>
      </c>
      <c r="C13" s="22" t="str">
        <f t="shared" si="0"/>
        <v>0xE00B</v>
      </c>
      <c r="D13" s="22" t="s">
        <v>220</v>
      </c>
      <c r="E13" s="22" t="s">
        <v>52</v>
      </c>
      <c r="F13" s="22" t="s">
        <v>865</v>
      </c>
      <c r="G13" s="22">
        <v>1</v>
      </c>
      <c r="H13" s="23" t="s">
        <v>931</v>
      </c>
    </row>
    <row r="14" ht="28" spans="1:8">
      <c r="A14" s="22">
        <v>13</v>
      </c>
      <c r="B14" s="23" t="s">
        <v>932</v>
      </c>
      <c r="C14" s="22" t="str">
        <f t="shared" si="0"/>
        <v>0xE00C</v>
      </c>
      <c r="D14" s="22" t="s">
        <v>220</v>
      </c>
      <c r="E14" s="22" t="s">
        <v>52</v>
      </c>
      <c r="F14" s="22" t="s">
        <v>883</v>
      </c>
      <c r="G14" s="22">
        <v>1</v>
      </c>
      <c r="H14" s="23" t="s">
        <v>933</v>
      </c>
    </row>
    <row r="15" spans="1:8">
      <c r="A15" s="22">
        <v>14</v>
      </c>
      <c r="B15" s="23" t="s">
        <v>934</v>
      </c>
      <c r="C15" s="22" t="str">
        <f t="shared" si="0"/>
        <v>0xE00D</v>
      </c>
      <c r="D15" s="22" t="s">
        <v>220</v>
      </c>
      <c r="E15" s="22" t="s">
        <v>52</v>
      </c>
      <c r="F15" s="22" t="s">
        <v>935</v>
      </c>
      <c r="G15" s="22">
        <v>1</v>
      </c>
      <c r="H15" s="23" t="s">
        <v>933</v>
      </c>
    </row>
    <row r="16" ht="28" spans="1:8">
      <c r="A16" s="22">
        <v>15</v>
      </c>
      <c r="B16" s="23" t="s">
        <v>936</v>
      </c>
      <c r="C16" s="22" t="str">
        <f t="shared" si="0"/>
        <v>0xE00E</v>
      </c>
      <c r="D16" s="22" t="s">
        <v>220</v>
      </c>
      <c r="E16" s="22" t="s">
        <v>52</v>
      </c>
      <c r="F16" s="22" t="s">
        <v>883</v>
      </c>
      <c r="G16" s="22">
        <v>1</v>
      </c>
      <c r="H16" s="23" t="s">
        <v>933</v>
      </c>
    </row>
    <row r="17" ht="28" spans="1:8">
      <c r="A17" s="22">
        <v>16</v>
      </c>
      <c r="B17" s="23" t="s">
        <v>937</v>
      </c>
      <c r="C17" s="22" t="str">
        <f t="shared" si="0"/>
        <v>0xE00F</v>
      </c>
      <c r="D17" s="22" t="s">
        <v>220</v>
      </c>
      <c r="E17" s="22" t="s">
        <v>52</v>
      </c>
      <c r="F17" s="22" t="s">
        <v>935</v>
      </c>
      <c r="G17" s="22">
        <v>1</v>
      </c>
      <c r="H17" s="23" t="s">
        <v>933</v>
      </c>
    </row>
    <row r="18" ht="28" spans="1:8">
      <c r="A18" s="22">
        <v>17</v>
      </c>
      <c r="B18" s="23" t="s">
        <v>938</v>
      </c>
      <c r="C18" s="22" t="str">
        <f t="shared" si="0"/>
        <v>0xE010</v>
      </c>
      <c r="D18" s="22" t="s">
        <v>220</v>
      </c>
      <c r="E18" s="22" t="s">
        <v>52</v>
      </c>
      <c r="F18" s="22" t="s">
        <v>883</v>
      </c>
      <c r="G18" s="22">
        <v>1</v>
      </c>
      <c r="H18" s="23" t="s">
        <v>933</v>
      </c>
    </row>
    <row r="19" ht="28" spans="1:8">
      <c r="A19" s="22">
        <v>18</v>
      </c>
      <c r="B19" s="23" t="s">
        <v>939</v>
      </c>
      <c r="C19" s="22" t="str">
        <f t="shared" si="0"/>
        <v>0xE011</v>
      </c>
      <c r="D19" s="22" t="s">
        <v>220</v>
      </c>
      <c r="E19" s="22" t="s">
        <v>52</v>
      </c>
      <c r="F19" s="22" t="s">
        <v>883</v>
      </c>
      <c r="G19" s="22">
        <v>1</v>
      </c>
      <c r="H19" s="23" t="s">
        <v>933</v>
      </c>
    </row>
    <row r="20" ht="28" spans="1:8">
      <c r="A20" s="22">
        <v>19</v>
      </c>
      <c r="B20" s="23" t="s">
        <v>940</v>
      </c>
      <c r="C20" s="22" t="str">
        <f t="shared" si="0"/>
        <v>0xE012</v>
      </c>
      <c r="D20" s="22" t="s">
        <v>220</v>
      </c>
      <c r="E20" s="22" t="s">
        <v>52</v>
      </c>
      <c r="F20" s="22" t="s">
        <v>883</v>
      </c>
      <c r="G20" s="22">
        <v>1</v>
      </c>
      <c r="H20" s="23" t="s">
        <v>933</v>
      </c>
    </row>
    <row r="21" ht="28" spans="1:8">
      <c r="A21" s="22">
        <v>20</v>
      </c>
      <c r="B21" s="23" t="s">
        <v>941</v>
      </c>
      <c r="C21" s="22" t="str">
        <f t="shared" si="0"/>
        <v>0xE013</v>
      </c>
      <c r="D21" s="22" t="s">
        <v>220</v>
      </c>
      <c r="E21" s="22" t="s">
        <v>52</v>
      </c>
      <c r="F21" s="22" t="s">
        <v>935</v>
      </c>
      <c r="G21" s="22">
        <v>1</v>
      </c>
      <c r="H21" s="23" t="s">
        <v>933</v>
      </c>
    </row>
    <row r="22" ht="28" spans="1:8">
      <c r="A22" s="22">
        <v>21</v>
      </c>
      <c r="B22" s="23" t="s">
        <v>942</v>
      </c>
      <c r="C22" s="22" t="str">
        <f t="shared" si="0"/>
        <v>0xE014</v>
      </c>
      <c r="D22" s="22" t="s">
        <v>220</v>
      </c>
      <c r="E22" s="22" t="s">
        <v>52</v>
      </c>
      <c r="F22" s="22" t="s">
        <v>883</v>
      </c>
      <c r="G22" s="22">
        <v>1</v>
      </c>
      <c r="H22" s="23" t="s">
        <v>933</v>
      </c>
    </row>
    <row r="23" ht="28" spans="1:8">
      <c r="A23" s="22">
        <v>22</v>
      </c>
      <c r="B23" s="23" t="s">
        <v>943</v>
      </c>
      <c r="C23" s="22" t="str">
        <f t="shared" si="0"/>
        <v>0xE015</v>
      </c>
      <c r="D23" s="22" t="s">
        <v>220</v>
      </c>
      <c r="E23" s="22" t="s">
        <v>52</v>
      </c>
      <c r="F23" s="22" t="s">
        <v>883</v>
      </c>
      <c r="G23" s="22">
        <v>1</v>
      </c>
      <c r="H23" s="23" t="s">
        <v>933</v>
      </c>
    </row>
    <row r="24" ht="28" spans="1:8">
      <c r="A24" s="22">
        <v>23</v>
      </c>
      <c r="B24" s="23" t="s">
        <v>944</v>
      </c>
      <c r="C24" s="22" t="str">
        <f t="shared" si="0"/>
        <v>0xE016</v>
      </c>
      <c r="D24" s="22" t="s">
        <v>220</v>
      </c>
      <c r="E24" s="22" t="s">
        <v>52</v>
      </c>
      <c r="F24" s="22" t="s">
        <v>883</v>
      </c>
      <c r="G24" s="22">
        <v>1</v>
      </c>
      <c r="H24" s="23" t="s">
        <v>933</v>
      </c>
    </row>
    <row r="25" ht="28" spans="1:8">
      <c r="A25" s="22">
        <v>24</v>
      </c>
      <c r="B25" s="23" t="s">
        <v>945</v>
      </c>
      <c r="C25" s="22" t="str">
        <f t="shared" si="0"/>
        <v>0xE017</v>
      </c>
      <c r="D25" s="22" t="s">
        <v>220</v>
      </c>
      <c r="E25" s="22" t="s">
        <v>52</v>
      </c>
      <c r="F25" s="22" t="s">
        <v>935</v>
      </c>
      <c r="G25" s="22">
        <v>1</v>
      </c>
      <c r="H25" s="23" t="s">
        <v>933</v>
      </c>
    </row>
    <row r="26" ht="28" spans="1:8">
      <c r="A26" s="22">
        <v>25</v>
      </c>
      <c r="B26" s="23" t="s">
        <v>946</v>
      </c>
      <c r="C26" s="22" t="str">
        <f t="shared" si="0"/>
        <v>0xE018</v>
      </c>
      <c r="D26" s="22" t="s">
        <v>220</v>
      </c>
      <c r="E26" s="22" t="s">
        <v>52</v>
      </c>
      <c r="F26" s="22" t="s">
        <v>883</v>
      </c>
      <c r="G26" s="22">
        <v>1</v>
      </c>
      <c r="H26" s="23" t="s">
        <v>933</v>
      </c>
    </row>
    <row r="27" spans="1:8">
      <c r="A27" s="22">
        <v>26</v>
      </c>
      <c r="B27" s="23" t="s">
        <v>947</v>
      </c>
      <c r="C27" s="22" t="str">
        <f t="shared" si="0"/>
        <v>0xE019</v>
      </c>
      <c r="D27" s="22" t="s">
        <v>220</v>
      </c>
      <c r="E27" s="22" t="s">
        <v>52</v>
      </c>
      <c r="F27" s="22" t="s">
        <v>883</v>
      </c>
      <c r="G27" s="22">
        <v>1</v>
      </c>
      <c r="H27" s="23" t="s">
        <v>933</v>
      </c>
    </row>
    <row r="28" spans="1:8">
      <c r="A28" s="22">
        <v>27</v>
      </c>
      <c r="B28" s="23" t="s">
        <v>948</v>
      </c>
      <c r="C28" s="22" t="str">
        <f t="shared" si="0"/>
        <v>0xE01A</v>
      </c>
      <c r="D28" s="22" t="s">
        <v>220</v>
      </c>
      <c r="E28" s="22" t="s">
        <v>52</v>
      </c>
      <c r="F28" s="22" t="s">
        <v>883</v>
      </c>
      <c r="G28" s="22">
        <v>1</v>
      </c>
      <c r="H28" s="23" t="s">
        <v>933</v>
      </c>
    </row>
    <row r="29" spans="1:8">
      <c r="A29" s="22">
        <v>28</v>
      </c>
      <c r="B29" s="23" t="s">
        <v>949</v>
      </c>
      <c r="C29" s="22" t="str">
        <f t="shared" si="0"/>
        <v>0xE01B</v>
      </c>
      <c r="D29" s="22" t="s">
        <v>220</v>
      </c>
      <c r="E29" s="22" t="s">
        <v>52</v>
      </c>
      <c r="F29" s="22" t="s">
        <v>883</v>
      </c>
      <c r="G29" s="22">
        <v>1</v>
      </c>
      <c r="H29" s="23" t="s">
        <v>933</v>
      </c>
    </row>
    <row r="30" spans="1:8">
      <c r="A30" s="22">
        <v>29</v>
      </c>
      <c r="B30" s="23" t="s">
        <v>950</v>
      </c>
      <c r="C30" s="22" t="str">
        <f t="shared" si="0"/>
        <v>0xE01C</v>
      </c>
      <c r="D30" s="22" t="s">
        <v>220</v>
      </c>
      <c r="E30" s="22" t="s">
        <v>52</v>
      </c>
      <c r="F30" s="22" t="s">
        <v>883</v>
      </c>
      <c r="G30" s="22">
        <v>1</v>
      </c>
      <c r="H30" s="23" t="s">
        <v>933</v>
      </c>
    </row>
    <row r="31" spans="1:8">
      <c r="A31" s="22">
        <v>30</v>
      </c>
      <c r="B31" s="23" t="s">
        <v>951</v>
      </c>
      <c r="C31" s="22" t="str">
        <f t="shared" si="0"/>
        <v>0xE01D</v>
      </c>
      <c r="D31" s="22" t="s">
        <v>220</v>
      </c>
      <c r="E31" s="22" t="s">
        <v>52</v>
      </c>
      <c r="F31" s="22" t="s">
        <v>883</v>
      </c>
      <c r="G31" s="22">
        <v>1</v>
      </c>
      <c r="H31" s="23" t="s">
        <v>933</v>
      </c>
    </row>
    <row r="32" spans="1:8">
      <c r="A32" s="22">
        <v>31</v>
      </c>
      <c r="B32" s="23" t="s">
        <v>952</v>
      </c>
      <c r="C32" s="22" t="str">
        <f t="shared" si="0"/>
        <v>0xE01E</v>
      </c>
      <c r="D32" s="22" t="s">
        <v>220</v>
      </c>
      <c r="E32" s="22" t="s">
        <v>52</v>
      </c>
      <c r="F32" s="22" t="s">
        <v>883</v>
      </c>
      <c r="G32" s="22">
        <v>1</v>
      </c>
      <c r="H32" s="23" t="s">
        <v>933</v>
      </c>
    </row>
    <row r="33" spans="1:8">
      <c r="A33" s="22">
        <v>32</v>
      </c>
      <c r="B33" s="23" t="s">
        <v>953</v>
      </c>
      <c r="C33" s="22" t="str">
        <f t="shared" si="0"/>
        <v>0xE01F</v>
      </c>
      <c r="D33" s="22" t="s">
        <v>220</v>
      </c>
      <c r="E33" s="22" t="s">
        <v>52</v>
      </c>
      <c r="F33" s="22" t="s">
        <v>883</v>
      </c>
      <c r="G33" s="22">
        <v>1</v>
      </c>
      <c r="H33" s="23" t="s">
        <v>933</v>
      </c>
    </row>
    <row r="34" spans="1:8">
      <c r="A34" s="22">
        <v>33</v>
      </c>
      <c r="B34" s="23" t="s">
        <v>954</v>
      </c>
      <c r="C34" s="22" t="str">
        <f t="shared" si="0"/>
        <v>0xE020</v>
      </c>
      <c r="D34" s="22" t="s">
        <v>220</v>
      </c>
      <c r="E34" s="22" t="s">
        <v>52</v>
      </c>
      <c r="F34" s="22" t="s">
        <v>883</v>
      </c>
      <c r="G34" s="22">
        <v>1</v>
      </c>
      <c r="H34" s="23" t="s">
        <v>933</v>
      </c>
    </row>
    <row r="35" ht="16" customHeight="1" spans="1:8">
      <c r="A35" s="22">
        <v>34</v>
      </c>
      <c r="B35" s="23" t="s">
        <v>955</v>
      </c>
      <c r="C35" s="22" t="str">
        <f t="shared" si="0"/>
        <v>0xE021</v>
      </c>
      <c r="D35" s="22" t="s">
        <v>220</v>
      </c>
      <c r="E35" s="22" t="s">
        <v>52</v>
      </c>
      <c r="F35" s="22" t="s">
        <v>883</v>
      </c>
      <c r="G35" s="22">
        <v>1</v>
      </c>
      <c r="H35" s="23" t="s">
        <v>933</v>
      </c>
    </row>
    <row r="36" ht="28" spans="1:8">
      <c r="A36" s="22">
        <v>35</v>
      </c>
      <c r="B36" s="23" t="s">
        <v>956</v>
      </c>
      <c r="C36" s="22" t="str">
        <f t="shared" si="0"/>
        <v>0xE022</v>
      </c>
      <c r="D36" s="22" t="s">
        <v>220</v>
      </c>
      <c r="E36" s="22" t="s">
        <v>52</v>
      </c>
      <c r="F36" s="22" t="s">
        <v>117</v>
      </c>
      <c r="G36" s="22">
        <v>1</v>
      </c>
      <c r="H36" s="23" t="s">
        <v>957</v>
      </c>
    </row>
    <row r="37" ht="28" spans="1:8">
      <c r="A37" s="22">
        <v>36</v>
      </c>
      <c r="B37" s="23" t="s">
        <v>958</v>
      </c>
      <c r="C37" s="22" t="str">
        <f t="shared" si="0"/>
        <v>0xE023</v>
      </c>
      <c r="D37" s="22" t="s">
        <v>220</v>
      </c>
      <c r="E37" s="22" t="s">
        <v>52</v>
      </c>
      <c r="F37" s="22" t="s">
        <v>117</v>
      </c>
      <c r="G37" s="22">
        <v>1</v>
      </c>
      <c r="H37" s="23" t="s">
        <v>957</v>
      </c>
    </row>
    <row r="38" ht="28" spans="1:8">
      <c r="A38" s="22">
        <v>37</v>
      </c>
      <c r="B38" s="23" t="s">
        <v>959</v>
      </c>
      <c r="C38" s="22" t="str">
        <f t="shared" si="0"/>
        <v>0xE024</v>
      </c>
      <c r="D38" s="22" t="s">
        <v>220</v>
      </c>
      <c r="E38" s="22" t="s">
        <v>52</v>
      </c>
      <c r="F38" s="22" t="s">
        <v>117</v>
      </c>
      <c r="G38" s="22">
        <v>1</v>
      </c>
      <c r="H38" s="23" t="s">
        <v>957</v>
      </c>
    </row>
    <row r="39" ht="28" spans="1:8">
      <c r="A39" s="22">
        <v>38</v>
      </c>
      <c r="B39" s="23" t="s">
        <v>960</v>
      </c>
      <c r="C39" s="22" t="str">
        <f t="shared" si="0"/>
        <v>0xE025</v>
      </c>
      <c r="D39" s="22" t="s">
        <v>220</v>
      </c>
      <c r="E39" s="22" t="s">
        <v>52</v>
      </c>
      <c r="F39" s="22" t="s">
        <v>117</v>
      </c>
      <c r="G39" s="22">
        <v>1</v>
      </c>
      <c r="H39" s="23" t="s">
        <v>957</v>
      </c>
    </row>
    <row r="40" ht="28" spans="1:8">
      <c r="A40" s="22">
        <v>39</v>
      </c>
      <c r="B40" s="23" t="s">
        <v>961</v>
      </c>
      <c r="C40" s="22" t="str">
        <f t="shared" si="0"/>
        <v>0xE026</v>
      </c>
      <c r="D40" s="22" t="s">
        <v>220</v>
      </c>
      <c r="E40" s="22" t="s">
        <v>52</v>
      </c>
      <c r="F40" s="22" t="s">
        <v>117</v>
      </c>
      <c r="G40" s="22">
        <v>1</v>
      </c>
      <c r="H40" s="23" t="s">
        <v>957</v>
      </c>
    </row>
    <row r="41" ht="28" spans="1:8">
      <c r="A41" s="22">
        <v>40</v>
      </c>
      <c r="B41" s="23" t="s">
        <v>962</v>
      </c>
      <c r="C41" s="22" t="str">
        <f t="shared" si="0"/>
        <v>0xE027</v>
      </c>
      <c r="D41" s="22" t="s">
        <v>220</v>
      </c>
      <c r="E41" s="22" t="s">
        <v>52</v>
      </c>
      <c r="F41" s="22" t="s">
        <v>117</v>
      </c>
      <c r="G41" s="22">
        <v>1</v>
      </c>
      <c r="H41" s="23" t="s">
        <v>957</v>
      </c>
    </row>
    <row r="42" spans="1:8">
      <c r="A42" s="22">
        <v>41</v>
      </c>
      <c r="B42" s="23" t="s">
        <v>963</v>
      </c>
      <c r="C42" s="22" t="str">
        <f t="shared" si="0"/>
        <v>0xE028</v>
      </c>
      <c r="D42" s="22" t="s">
        <v>220</v>
      </c>
      <c r="E42" s="22" t="s">
        <v>52</v>
      </c>
      <c r="F42" s="22" t="s">
        <v>883</v>
      </c>
      <c r="G42" s="22">
        <v>1</v>
      </c>
      <c r="H42" s="23" t="s">
        <v>933</v>
      </c>
    </row>
    <row r="43" spans="1:8">
      <c r="A43" s="22">
        <v>42</v>
      </c>
      <c r="B43" s="23" t="s">
        <v>12</v>
      </c>
      <c r="C43" s="22" t="str">
        <f t="shared" si="0"/>
        <v>0xE029</v>
      </c>
      <c r="D43" s="22" t="s">
        <v>15</v>
      </c>
      <c r="E43" s="22" t="s">
        <v>52</v>
      </c>
      <c r="F43" s="22" t="s">
        <v>117</v>
      </c>
      <c r="G43" s="22">
        <v>1</v>
      </c>
      <c r="H43" s="23"/>
    </row>
    <row r="44" spans="1:8">
      <c r="A44" s="22">
        <v>43</v>
      </c>
      <c r="B44" s="23" t="s">
        <v>964</v>
      </c>
      <c r="C44" s="22" t="str">
        <f t="shared" si="0"/>
        <v>0xE02A</v>
      </c>
      <c r="D44" s="22" t="s">
        <v>15</v>
      </c>
      <c r="E44" s="22" t="s">
        <v>52</v>
      </c>
      <c r="F44" s="22" t="s">
        <v>117</v>
      </c>
      <c r="G44" s="22">
        <v>1</v>
      </c>
      <c r="H44" s="23"/>
    </row>
    <row r="45" ht="126" spans="1:8">
      <c r="A45" s="22">
        <v>44</v>
      </c>
      <c r="B45" s="23" t="s">
        <v>965</v>
      </c>
      <c r="C45" s="22" t="str">
        <f t="shared" si="0"/>
        <v>0xE02B</v>
      </c>
      <c r="D45" s="22" t="s">
        <v>15</v>
      </c>
      <c r="E45" s="22" t="s">
        <v>52</v>
      </c>
      <c r="F45" s="22" t="s">
        <v>117</v>
      </c>
      <c r="G45" s="22">
        <v>1</v>
      </c>
      <c r="H45" s="23" t="s">
        <v>966</v>
      </c>
    </row>
    <row r="46" ht="56" spans="1:8">
      <c r="A46" s="22">
        <v>45</v>
      </c>
      <c r="B46" s="23" t="s">
        <v>967</v>
      </c>
      <c r="C46" s="22" t="str">
        <f t="shared" si="0"/>
        <v>0xE02C</v>
      </c>
      <c r="D46" s="22" t="s">
        <v>15</v>
      </c>
      <c r="E46" s="22" t="s">
        <v>52</v>
      </c>
      <c r="F46" s="22" t="s">
        <v>117</v>
      </c>
      <c r="G46" s="22">
        <v>1</v>
      </c>
      <c r="H46" s="23" t="s">
        <v>968</v>
      </c>
    </row>
    <row r="47" spans="1:8">
      <c r="A47" s="22">
        <v>46</v>
      </c>
      <c r="B47" s="23" t="s">
        <v>969</v>
      </c>
      <c r="C47" s="22" t="str">
        <f t="shared" si="0"/>
        <v>0xE02D</v>
      </c>
      <c r="D47" s="22" t="s">
        <v>15</v>
      </c>
      <c r="E47" s="22" t="s">
        <v>52</v>
      </c>
      <c r="F47" s="22" t="s">
        <v>117</v>
      </c>
      <c r="G47" s="22">
        <v>1</v>
      </c>
      <c r="H47" s="23"/>
    </row>
    <row r="48" ht="28" spans="1:8">
      <c r="A48" s="22">
        <v>47</v>
      </c>
      <c r="B48" s="23" t="s">
        <v>970</v>
      </c>
      <c r="C48" s="22" t="str">
        <f t="shared" si="0"/>
        <v>0xE02E</v>
      </c>
      <c r="D48" s="22" t="s">
        <v>15</v>
      </c>
      <c r="E48" s="22" t="s">
        <v>52</v>
      </c>
      <c r="F48" s="22" t="s">
        <v>117</v>
      </c>
      <c r="G48" s="22">
        <v>1</v>
      </c>
      <c r="H48" s="23" t="s">
        <v>971</v>
      </c>
    </row>
    <row r="49" spans="1:8">
      <c r="A49" s="22">
        <v>48</v>
      </c>
      <c r="B49" s="23" t="s">
        <v>972</v>
      </c>
      <c r="C49" s="22" t="str">
        <f t="shared" si="0"/>
        <v>0xE02F</v>
      </c>
      <c r="D49" s="22" t="s">
        <v>15</v>
      </c>
      <c r="E49" s="22" t="s">
        <v>52</v>
      </c>
      <c r="F49" s="22" t="s">
        <v>117</v>
      </c>
      <c r="G49" s="22">
        <v>1</v>
      </c>
      <c r="H49" s="23"/>
    </row>
    <row r="50" spans="1:8">
      <c r="A50" s="22">
        <v>49</v>
      </c>
      <c r="B50" s="23" t="s">
        <v>973</v>
      </c>
      <c r="C50" s="22" t="str">
        <f t="shared" si="0"/>
        <v>0xE030</v>
      </c>
      <c r="D50" s="22" t="s">
        <v>15</v>
      </c>
      <c r="E50" s="22" t="s">
        <v>52</v>
      </c>
      <c r="F50" s="22" t="s">
        <v>117</v>
      </c>
      <c r="G50" s="22">
        <v>1</v>
      </c>
      <c r="H50" s="23"/>
    </row>
    <row r="51" ht="42" spans="1:8">
      <c r="A51" s="22">
        <v>50</v>
      </c>
      <c r="B51" s="23" t="s">
        <v>974</v>
      </c>
      <c r="C51" s="22" t="str">
        <f t="shared" si="0"/>
        <v>0xE031</v>
      </c>
      <c r="D51" s="22" t="s">
        <v>15</v>
      </c>
      <c r="E51" s="22" t="s">
        <v>52</v>
      </c>
      <c r="F51" s="22" t="s">
        <v>117</v>
      </c>
      <c r="G51" s="22">
        <v>1</v>
      </c>
      <c r="H51" s="23" t="s">
        <v>975</v>
      </c>
    </row>
    <row r="52" ht="28" spans="1:8">
      <c r="A52" s="22">
        <v>51</v>
      </c>
      <c r="B52" s="23" t="s">
        <v>976</v>
      </c>
      <c r="C52" s="22" t="str">
        <f t="shared" si="0"/>
        <v>0xE032</v>
      </c>
      <c r="D52" s="22" t="s">
        <v>220</v>
      </c>
      <c r="E52" s="22" t="s">
        <v>52</v>
      </c>
      <c r="F52" s="22" t="s">
        <v>117</v>
      </c>
      <c r="G52" s="22">
        <v>1</v>
      </c>
      <c r="H52" s="23" t="s">
        <v>977</v>
      </c>
    </row>
    <row r="53" spans="1:8">
      <c r="A53" s="22">
        <v>52</v>
      </c>
      <c r="B53" s="23" t="s">
        <v>978</v>
      </c>
      <c r="C53" s="22" t="str">
        <f t="shared" si="0"/>
        <v>0xE033</v>
      </c>
      <c r="D53" s="22" t="s">
        <v>15</v>
      </c>
      <c r="E53" s="22" t="s">
        <v>52</v>
      </c>
      <c r="F53" s="22" t="s">
        <v>117</v>
      </c>
      <c r="G53" s="22">
        <v>1</v>
      </c>
      <c r="H53" s="23"/>
    </row>
    <row r="54" ht="42" spans="1:8">
      <c r="A54" s="22">
        <v>53</v>
      </c>
      <c r="B54" s="23" t="s">
        <v>979</v>
      </c>
      <c r="C54" s="22" t="str">
        <f t="shared" si="0"/>
        <v>0xE034</v>
      </c>
      <c r="D54" s="22" t="s">
        <v>15</v>
      </c>
      <c r="E54" s="22" t="s">
        <v>52</v>
      </c>
      <c r="F54" s="22" t="s">
        <v>117</v>
      </c>
      <c r="G54" s="22">
        <v>1</v>
      </c>
      <c r="H54" s="23" t="s">
        <v>980</v>
      </c>
    </row>
    <row r="55" spans="1:8">
      <c r="A55" s="24">
        <v>54</v>
      </c>
      <c r="B55" s="25" t="s">
        <v>981</v>
      </c>
      <c r="C55" s="24" t="s">
        <v>982</v>
      </c>
      <c r="D55" s="22" t="s">
        <v>15</v>
      </c>
      <c r="E55" s="22" t="s">
        <v>52</v>
      </c>
      <c r="F55" s="22" t="s">
        <v>117</v>
      </c>
      <c r="G55" s="22">
        <v>1</v>
      </c>
      <c r="H55" s="23"/>
    </row>
    <row r="56" spans="1:8">
      <c r="A56" s="22">
        <v>55</v>
      </c>
      <c r="B56" s="23" t="s">
        <v>983</v>
      </c>
      <c r="C56" s="22" t="s">
        <v>984</v>
      </c>
      <c r="D56" s="22" t="s">
        <v>15</v>
      </c>
      <c r="E56" s="22" t="s">
        <v>52</v>
      </c>
      <c r="F56" s="22" t="s">
        <v>117</v>
      </c>
      <c r="G56" s="22">
        <v>1</v>
      </c>
      <c r="H56" s="23"/>
    </row>
    <row r="57" spans="1:8">
      <c r="A57" s="22">
        <v>56</v>
      </c>
      <c r="B57" s="23" t="s">
        <v>985</v>
      </c>
      <c r="C57" s="22" t="s">
        <v>986</v>
      </c>
      <c r="D57" s="22" t="s">
        <v>15</v>
      </c>
      <c r="E57" s="22" t="s">
        <v>52</v>
      </c>
      <c r="F57" s="22" t="s">
        <v>117</v>
      </c>
      <c r="G57" s="22">
        <v>1</v>
      </c>
      <c r="H57" s="23"/>
    </row>
    <row r="58" spans="1:8">
      <c r="A58" s="22">
        <v>57</v>
      </c>
      <c r="B58" s="23" t="s">
        <v>987</v>
      </c>
      <c r="C58" s="22" t="s">
        <v>988</v>
      </c>
      <c r="D58" s="22" t="s">
        <v>15</v>
      </c>
      <c r="E58" s="22" t="s">
        <v>52</v>
      </c>
      <c r="F58" s="22" t="s">
        <v>117</v>
      </c>
      <c r="G58" s="22">
        <v>1</v>
      </c>
      <c r="H58" s="23"/>
    </row>
    <row r="59" spans="1:8">
      <c r="A59" s="22">
        <v>58</v>
      </c>
      <c r="B59" s="23" t="s">
        <v>989</v>
      </c>
      <c r="C59" s="22" t="s">
        <v>990</v>
      </c>
      <c r="D59" s="22" t="s">
        <v>15</v>
      </c>
      <c r="E59" s="22" t="s">
        <v>52</v>
      </c>
      <c r="F59" s="22" t="s">
        <v>117</v>
      </c>
      <c r="G59" s="22">
        <v>1</v>
      </c>
      <c r="H59" s="23"/>
    </row>
    <row r="60" spans="1:8">
      <c r="A60" s="22">
        <v>59</v>
      </c>
      <c r="B60" s="23" t="s">
        <v>991</v>
      </c>
      <c r="C60" s="22" t="s">
        <v>992</v>
      </c>
      <c r="D60" s="22" t="s">
        <v>15</v>
      </c>
      <c r="E60" s="22" t="s">
        <v>52</v>
      </c>
      <c r="F60" s="22" t="s">
        <v>117</v>
      </c>
      <c r="G60" s="22">
        <v>1</v>
      </c>
      <c r="H60" s="23"/>
    </row>
    <row r="61" spans="1:8">
      <c r="A61" s="22">
        <v>60</v>
      </c>
      <c r="B61" s="23" t="s">
        <v>993</v>
      </c>
      <c r="C61" s="22" t="s">
        <v>994</v>
      </c>
      <c r="D61" s="22" t="s">
        <v>15</v>
      </c>
      <c r="E61" s="22" t="s">
        <v>52</v>
      </c>
      <c r="F61" s="22" t="s">
        <v>117</v>
      </c>
      <c r="G61" s="22">
        <v>1</v>
      </c>
      <c r="H61" s="23"/>
    </row>
    <row r="62" spans="1:8">
      <c r="A62" s="22">
        <v>61</v>
      </c>
      <c r="B62" s="23" t="s">
        <v>995</v>
      </c>
      <c r="C62" s="22" t="s">
        <v>996</v>
      </c>
      <c r="D62" s="22" t="s">
        <v>15</v>
      </c>
      <c r="E62" s="22" t="s">
        <v>52</v>
      </c>
      <c r="F62" s="22" t="s">
        <v>117</v>
      </c>
      <c r="G62" s="22">
        <v>1</v>
      </c>
      <c r="H62" s="23"/>
    </row>
    <row r="63" spans="1:8">
      <c r="A63" s="22">
        <v>62</v>
      </c>
      <c r="B63" s="23" t="s">
        <v>997</v>
      </c>
      <c r="C63" s="22" t="s">
        <v>998</v>
      </c>
      <c r="D63" s="22" t="s">
        <v>15</v>
      </c>
      <c r="E63" s="22" t="s">
        <v>52</v>
      </c>
      <c r="F63" s="22" t="s">
        <v>117</v>
      </c>
      <c r="G63" s="22">
        <v>1</v>
      </c>
      <c r="H63" s="23"/>
    </row>
    <row r="64" spans="1:8">
      <c r="A64" s="22">
        <v>63</v>
      </c>
      <c r="B64" s="23" t="s">
        <v>999</v>
      </c>
      <c r="C64" s="22" t="s">
        <v>1000</v>
      </c>
      <c r="D64" s="22" t="s">
        <v>15</v>
      </c>
      <c r="E64" s="22" t="s">
        <v>52</v>
      </c>
      <c r="F64" s="22" t="s">
        <v>117</v>
      </c>
      <c r="G64" s="22">
        <v>1</v>
      </c>
      <c r="H64" s="23"/>
    </row>
    <row r="65" spans="1:8">
      <c r="A65" s="22">
        <v>64</v>
      </c>
      <c r="B65" s="23" t="s">
        <v>1001</v>
      </c>
      <c r="C65" s="22" t="s">
        <v>1002</v>
      </c>
      <c r="D65" s="22" t="s">
        <v>15</v>
      </c>
      <c r="E65" s="22" t="s">
        <v>52</v>
      </c>
      <c r="F65" s="22" t="s">
        <v>117</v>
      </c>
      <c r="G65" s="22">
        <v>1</v>
      </c>
      <c r="H65" s="23"/>
    </row>
    <row r="66" spans="1:8">
      <c r="A66" s="22">
        <v>65</v>
      </c>
      <c r="B66" s="23" t="s">
        <v>1003</v>
      </c>
      <c r="C66" s="22" t="s">
        <v>1004</v>
      </c>
      <c r="D66" s="22" t="s">
        <v>15</v>
      </c>
      <c r="E66" s="22" t="s">
        <v>52</v>
      </c>
      <c r="F66" s="22" t="s">
        <v>117</v>
      </c>
      <c r="G66" s="22">
        <v>1</v>
      </c>
      <c r="H66" s="23"/>
    </row>
    <row r="67" spans="1:8">
      <c r="A67" s="22">
        <v>66</v>
      </c>
      <c r="B67" s="23" t="s">
        <v>1005</v>
      </c>
      <c r="C67" s="22" t="s">
        <v>1006</v>
      </c>
      <c r="D67" s="22" t="s">
        <v>15</v>
      </c>
      <c r="E67" s="22" t="s">
        <v>52</v>
      </c>
      <c r="F67" s="22" t="s">
        <v>117</v>
      </c>
      <c r="G67" s="22">
        <v>1</v>
      </c>
      <c r="H67" s="23"/>
    </row>
    <row r="68" spans="1:8">
      <c r="A68" s="22">
        <v>67</v>
      </c>
      <c r="B68" s="23" t="s">
        <v>1007</v>
      </c>
      <c r="C68" s="22" t="s">
        <v>1008</v>
      </c>
      <c r="D68" s="22" t="s">
        <v>15</v>
      </c>
      <c r="E68" s="22" t="s">
        <v>52</v>
      </c>
      <c r="F68" s="22" t="s">
        <v>117</v>
      </c>
      <c r="G68" s="22">
        <v>1</v>
      </c>
      <c r="H68" s="23"/>
    </row>
    <row r="69" spans="1:8">
      <c r="A69" s="22">
        <v>68</v>
      </c>
      <c r="B69" s="23" t="s">
        <v>1009</v>
      </c>
      <c r="C69" s="22" t="s">
        <v>1010</v>
      </c>
      <c r="D69" s="22" t="s">
        <v>15</v>
      </c>
      <c r="E69" s="22" t="s">
        <v>52</v>
      </c>
      <c r="F69" s="22" t="s">
        <v>117</v>
      </c>
      <c r="G69" s="22">
        <v>1</v>
      </c>
      <c r="H69" s="23"/>
    </row>
    <row r="70" spans="1:8">
      <c r="A70" s="22">
        <v>69</v>
      </c>
      <c r="B70" s="23" t="s">
        <v>1011</v>
      </c>
      <c r="C70" s="22" t="s">
        <v>1012</v>
      </c>
      <c r="D70" s="22" t="s">
        <v>15</v>
      </c>
      <c r="E70" s="22" t="s">
        <v>52</v>
      </c>
      <c r="F70" s="22" t="s">
        <v>117</v>
      </c>
      <c r="G70" s="22">
        <v>1</v>
      </c>
      <c r="H70" s="23"/>
    </row>
    <row r="71" spans="1:8">
      <c r="A71" s="22">
        <v>70</v>
      </c>
      <c r="B71" s="23" t="s">
        <v>1013</v>
      </c>
      <c r="C71" s="22" t="s">
        <v>1014</v>
      </c>
      <c r="D71" s="22" t="s">
        <v>15</v>
      </c>
      <c r="E71" s="22" t="s">
        <v>52</v>
      </c>
      <c r="F71" s="22" t="s">
        <v>117</v>
      </c>
      <c r="G71" s="22">
        <v>1</v>
      </c>
      <c r="H71" s="23"/>
    </row>
    <row r="72" spans="1:8">
      <c r="A72" s="22">
        <v>71</v>
      </c>
      <c r="B72" s="23" t="s">
        <v>1015</v>
      </c>
      <c r="C72" s="22" t="s">
        <v>1016</v>
      </c>
      <c r="D72" s="22" t="s">
        <v>15</v>
      </c>
      <c r="E72" s="22" t="s">
        <v>52</v>
      </c>
      <c r="F72" s="22" t="s">
        <v>117</v>
      </c>
      <c r="G72" s="22">
        <v>1</v>
      </c>
      <c r="H72" s="23"/>
    </row>
    <row r="73" spans="1:8">
      <c r="A73" s="22"/>
      <c r="C73" s="22"/>
      <c r="D73" s="22"/>
      <c r="E73" s="22"/>
      <c r="F73" s="22"/>
      <c r="G73" s="22"/>
      <c r="H73" s="23"/>
    </row>
    <row r="74" ht="13" customHeight="1" spans="1:8">
      <c r="A74" s="22"/>
    </row>
    <row r="75" spans="1:8">
      <c r="A75" s="22"/>
    </row>
    <row r="77" spans="1:8">
      <c r="A77" s="20" t="s">
        <v>4</v>
      </c>
      <c r="B77" s="20" t="s">
        <v>5</v>
      </c>
      <c r="C77" s="20" t="s">
        <v>6</v>
      </c>
      <c r="D77" s="20" t="s">
        <v>8</v>
      </c>
      <c r="E77" s="20" t="s">
        <v>9</v>
      </c>
      <c r="F77" s="21" t="s">
        <v>48</v>
      </c>
      <c r="G77" s="20" t="s">
        <v>49</v>
      </c>
      <c r="H77" s="20" t="s">
        <v>11</v>
      </c>
    </row>
    <row r="78" spans="1:8">
      <c r="A78" s="22">
        <v>1</v>
      </c>
      <c r="B78" s="23" t="s">
        <v>1017</v>
      </c>
      <c r="C78" s="22" t="str">
        <f t="shared" ref="C78:C91" si="1">CONCATENATE("0x",DEC2HEX((A78)+57599,4))</f>
        <v>0xE100</v>
      </c>
      <c r="D78" s="22" t="s">
        <v>15</v>
      </c>
      <c r="E78" s="22" t="s">
        <v>52</v>
      </c>
      <c r="F78" s="22" t="s">
        <v>117</v>
      </c>
      <c r="G78" s="22">
        <v>1</v>
      </c>
      <c r="H78" s="23" t="s">
        <v>1018</v>
      </c>
    </row>
    <row r="79" spans="1:8">
      <c r="A79" s="22">
        <v>2</v>
      </c>
      <c r="B79" s="23" t="s">
        <v>1019</v>
      </c>
      <c r="C79" s="22" t="str">
        <f t="shared" si="1"/>
        <v>0xE101</v>
      </c>
      <c r="D79" s="22" t="s">
        <v>15</v>
      </c>
      <c r="E79" s="22" t="s">
        <v>52</v>
      </c>
      <c r="F79" s="22" t="s">
        <v>117</v>
      </c>
      <c r="G79" s="22">
        <v>1</v>
      </c>
      <c r="H79" s="23" t="s">
        <v>1018</v>
      </c>
    </row>
    <row r="80" spans="1:8">
      <c r="A80" s="22">
        <v>3</v>
      </c>
      <c r="B80" s="23" t="s">
        <v>1020</v>
      </c>
      <c r="C80" s="22" t="str">
        <f t="shared" si="1"/>
        <v>0xE102</v>
      </c>
      <c r="D80" s="22" t="s">
        <v>15</v>
      </c>
      <c r="E80" s="22" t="s">
        <v>52</v>
      </c>
      <c r="F80" s="22" t="s">
        <v>117</v>
      </c>
      <c r="G80" s="22">
        <v>1</v>
      </c>
      <c r="H80" s="23" t="s">
        <v>1018</v>
      </c>
    </row>
    <row r="81" spans="1:8">
      <c r="A81" s="22">
        <v>4</v>
      </c>
      <c r="B81" s="23" t="s">
        <v>1021</v>
      </c>
      <c r="C81" s="22" t="str">
        <f t="shared" si="1"/>
        <v>0xE103</v>
      </c>
      <c r="D81" s="22" t="s">
        <v>220</v>
      </c>
      <c r="E81" s="22" t="s">
        <v>52</v>
      </c>
      <c r="F81" s="22" t="s">
        <v>117</v>
      </c>
      <c r="G81" s="22">
        <v>1</v>
      </c>
      <c r="H81" s="23" t="s">
        <v>931</v>
      </c>
    </row>
    <row r="82" spans="1:8">
      <c r="A82" s="22">
        <v>5</v>
      </c>
      <c r="B82" s="23" t="s">
        <v>1022</v>
      </c>
      <c r="C82" s="22" t="str">
        <f t="shared" si="1"/>
        <v>0xE104</v>
      </c>
      <c r="D82" s="22" t="s">
        <v>220</v>
      </c>
      <c r="E82" s="22" t="s">
        <v>52</v>
      </c>
      <c r="F82" s="22" t="s">
        <v>117</v>
      </c>
      <c r="G82" s="22">
        <v>1</v>
      </c>
      <c r="H82" s="23" t="s">
        <v>931</v>
      </c>
    </row>
    <row r="83" ht="42" spans="1:8">
      <c r="A83" s="22">
        <v>6</v>
      </c>
      <c r="B83" s="23" t="s">
        <v>1023</v>
      </c>
      <c r="C83" s="22" t="str">
        <f t="shared" si="1"/>
        <v>0xE105</v>
      </c>
      <c r="D83" s="22" t="s">
        <v>220</v>
      </c>
      <c r="E83" s="22" t="s">
        <v>52</v>
      </c>
      <c r="F83" s="22" t="s">
        <v>117</v>
      </c>
      <c r="G83" s="22">
        <v>1</v>
      </c>
      <c r="H83" s="23" t="s">
        <v>1024</v>
      </c>
    </row>
    <row r="84" ht="28" spans="1:8">
      <c r="A84" s="22">
        <v>7</v>
      </c>
      <c r="B84" s="23" t="s">
        <v>1025</v>
      </c>
      <c r="C84" s="22" t="str">
        <f t="shared" si="1"/>
        <v>0xE106</v>
      </c>
      <c r="D84" s="22" t="s">
        <v>220</v>
      </c>
      <c r="E84" s="22" t="s">
        <v>52</v>
      </c>
      <c r="F84" s="22" t="s">
        <v>117</v>
      </c>
      <c r="G84" s="22">
        <v>1</v>
      </c>
      <c r="H84" s="23" t="s">
        <v>1026</v>
      </c>
    </row>
    <row r="85" ht="28" spans="1:8">
      <c r="A85" s="22">
        <v>8</v>
      </c>
      <c r="B85" s="23" t="s">
        <v>1027</v>
      </c>
      <c r="C85" s="22" t="str">
        <f t="shared" si="1"/>
        <v>0xE107</v>
      </c>
      <c r="D85" s="22" t="s">
        <v>220</v>
      </c>
      <c r="E85" s="22" t="s">
        <v>52</v>
      </c>
      <c r="F85" s="22" t="s">
        <v>117</v>
      </c>
      <c r="G85" s="22">
        <v>1</v>
      </c>
      <c r="H85" s="23" t="s">
        <v>1026</v>
      </c>
    </row>
    <row r="86" spans="1:8">
      <c r="A86" s="22">
        <v>9</v>
      </c>
      <c r="B86" s="23" t="s">
        <v>1028</v>
      </c>
      <c r="C86" s="22" t="str">
        <f t="shared" si="1"/>
        <v>0xE108</v>
      </c>
      <c r="D86" s="22" t="s">
        <v>220</v>
      </c>
      <c r="E86" s="22" t="s">
        <v>52</v>
      </c>
      <c r="F86" s="22" t="s">
        <v>883</v>
      </c>
      <c r="G86" s="22">
        <v>1</v>
      </c>
      <c r="H86" s="23" t="s">
        <v>933</v>
      </c>
    </row>
    <row r="87" spans="1:8">
      <c r="A87" s="22">
        <v>10</v>
      </c>
      <c r="B87" s="23" t="s">
        <v>1029</v>
      </c>
      <c r="C87" s="22" t="str">
        <f t="shared" si="1"/>
        <v>0xE109</v>
      </c>
      <c r="D87" s="22" t="s">
        <v>220</v>
      </c>
      <c r="E87" s="22" t="s">
        <v>52</v>
      </c>
      <c r="F87" s="22" t="s">
        <v>935</v>
      </c>
      <c r="G87" s="22">
        <v>1</v>
      </c>
      <c r="H87" s="23" t="s">
        <v>933</v>
      </c>
    </row>
    <row r="88" spans="1:8">
      <c r="A88" s="22">
        <v>11</v>
      </c>
      <c r="B88" s="23" t="s">
        <v>1030</v>
      </c>
      <c r="C88" s="22" t="str">
        <f t="shared" si="1"/>
        <v>0xE10A</v>
      </c>
      <c r="D88" s="22" t="s">
        <v>220</v>
      </c>
      <c r="E88" s="22" t="s">
        <v>52</v>
      </c>
      <c r="F88" s="22" t="s">
        <v>883</v>
      </c>
      <c r="G88" s="22">
        <v>1</v>
      </c>
      <c r="H88" s="23" t="s">
        <v>933</v>
      </c>
    </row>
    <row r="89" spans="1:8">
      <c r="A89" s="22">
        <v>12</v>
      </c>
      <c r="B89" s="23" t="s">
        <v>1031</v>
      </c>
      <c r="C89" s="22" t="str">
        <f t="shared" si="1"/>
        <v>0xE10B</v>
      </c>
      <c r="D89" s="22" t="s">
        <v>220</v>
      </c>
      <c r="E89" s="22" t="s">
        <v>52</v>
      </c>
      <c r="F89" s="22" t="s">
        <v>883</v>
      </c>
      <c r="G89" s="22">
        <v>1</v>
      </c>
      <c r="H89" s="23" t="s">
        <v>933</v>
      </c>
    </row>
    <row r="90" spans="1:8">
      <c r="A90" s="22">
        <v>13</v>
      </c>
      <c r="B90" s="23" t="s">
        <v>1032</v>
      </c>
      <c r="C90" s="22" t="str">
        <f t="shared" si="1"/>
        <v>0xE10C</v>
      </c>
      <c r="D90" s="22" t="s">
        <v>220</v>
      </c>
      <c r="E90" s="22" t="s">
        <v>52</v>
      </c>
      <c r="F90" s="22" t="s">
        <v>883</v>
      </c>
      <c r="G90" s="22">
        <v>1</v>
      </c>
      <c r="H90" s="23" t="s">
        <v>933</v>
      </c>
    </row>
    <row r="91" spans="1:8">
      <c r="A91" s="26">
        <v>14</v>
      </c>
      <c r="B91" s="23" t="s">
        <v>283</v>
      </c>
      <c r="C91" s="22" t="str">
        <f t="shared" si="1"/>
        <v>0xE10D</v>
      </c>
      <c r="D91" s="22" t="s">
        <v>220</v>
      </c>
      <c r="E91" s="22" t="s">
        <v>52</v>
      </c>
      <c r="F91" s="22" t="s">
        <v>883</v>
      </c>
      <c r="G91" s="22">
        <v>1</v>
      </c>
      <c r="H91" s="23" t="s">
        <v>933</v>
      </c>
    </row>
    <row r="94" spans="1:8">
      <c r="A94" s="20" t="s">
        <v>4</v>
      </c>
      <c r="B94" s="20" t="s">
        <v>5</v>
      </c>
      <c r="C94" s="20" t="s">
        <v>1033</v>
      </c>
      <c r="D94" s="20" t="s">
        <v>1034</v>
      </c>
      <c r="E94" s="20"/>
      <c r="F94" s="20"/>
      <c r="G94" s="20"/>
      <c r="H94" s="20"/>
    </row>
    <row r="95" ht="31" customHeight="1" spans="1:8">
      <c r="A95" s="22">
        <v>1</v>
      </c>
      <c r="B95" s="23" t="s">
        <v>1035</v>
      </c>
      <c r="C95" s="22">
        <v>460800</v>
      </c>
      <c r="D95" s="23" t="s">
        <v>1036</v>
      </c>
      <c r="E95" s="23"/>
      <c r="F95" s="23"/>
      <c r="G95" s="23"/>
      <c r="H95" s="23"/>
    </row>
    <row r="96" ht="50" customHeight="1" spans="1:8">
      <c r="A96" s="22">
        <v>2</v>
      </c>
      <c r="B96" s="23" t="s">
        <v>1037</v>
      </c>
      <c r="C96" s="22">
        <v>250000</v>
      </c>
      <c r="D96" s="23" t="s">
        <v>1038</v>
      </c>
      <c r="E96" s="23"/>
      <c r="F96" s="23"/>
      <c r="G96" s="23"/>
      <c r="H96" s="23"/>
    </row>
    <row r="97" ht="29" customHeight="1" spans="1:8">
      <c r="A97" s="22">
        <v>3</v>
      </c>
      <c r="B97" s="23" t="s">
        <v>1039</v>
      </c>
      <c r="C97" s="22">
        <v>115200</v>
      </c>
      <c r="D97" s="23" t="s">
        <v>1040</v>
      </c>
      <c r="E97" s="23"/>
      <c r="F97" s="23"/>
      <c r="G97" s="23"/>
      <c r="H97" s="23"/>
    </row>
    <row r="98" spans="1:8">
      <c r="A98" s="22">
        <v>4</v>
      </c>
      <c r="B98" s="23" t="s">
        <v>1041</v>
      </c>
      <c r="C98" s="22"/>
      <c r="D98" s="23" t="s">
        <v>1042</v>
      </c>
      <c r="E98" s="23"/>
      <c r="F98" s="23"/>
      <c r="G98" s="23"/>
      <c r="H98" s="23"/>
    </row>
    <row r="99" spans="1:8">
      <c r="A99" s="22"/>
      <c r="C99" s="22"/>
      <c r="D99" s="22"/>
      <c r="E99" s="22"/>
      <c r="F99" s="22"/>
      <c r="G99" s="22"/>
      <c r="H99" s="23"/>
    </row>
    <row r="100" spans="1:8">
      <c r="A100" s="22"/>
      <c r="C100" s="22"/>
      <c r="D100" s="22"/>
      <c r="E100" s="22"/>
      <c r="F100" s="22"/>
      <c r="G100" s="22"/>
      <c r="H100" s="23"/>
    </row>
    <row r="101" spans="1:8">
      <c r="A101" s="22"/>
      <c r="C101" s="22"/>
      <c r="D101" s="22"/>
      <c r="E101" s="22"/>
      <c r="F101" s="22"/>
    </row>
    <row r="102" spans="1:8">
      <c r="A102" s="22"/>
      <c r="C102" s="22"/>
      <c r="D102" s="22"/>
      <c r="E102" s="22"/>
      <c r="F102" s="22"/>
    </row>
    <row r="103" spans="1:8">
      <c r="A103" s="22"/>
      <c r="C103" s="22"/>
      <c r="D103" s="22"/>
      <c r="E103" s="22"/>
      <c r="F103" s="22"/>
    </row>
    <row r="104" spans="1:8">
      <c r="A104" s="22"/>
      <c r="C104" s="22"/>
      <c r="D104" s="22"/>
      <c r="E104" s="22"/>
      <c r="F104" s="22"/>
    </row>
    <row r="105" spans="1:8">
      <c r="A105" s="22"/>
    </row>
  </sheetData>
  <mergeCells count="5">
    <mergeCell ref="D94:H94"/>
    <mergeCell ref="D95:H95"/>
    <mergeCell ref="D96:H96"/>
    <mergeCell ref="D97:H97"/>
    <mergeCell ref="D98:H98"/>
  </mergeCells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9"/>
  <sheetViews>
    <sheetView zoomScale="130" zoomScaleNormal="130" topLeftCell="A145" workbookViewId="0">
      <selection activeCell="B51" sqref="B51"/>
    </sheetView>
  </sheetViews>
  <sheetFormatPr defaultColWidth="8.66666666666667" defaultRowHeight="14"/>
  <cols>
    <col min="1" max="1" width="5" customWidth="1"/>
    <col min="2" max="2" width="34.25" customWidth="1"/>
    <col min="3" max="3" width="9.66666666666667" customWidth="1"/>
    <col min="4" max="4" width="5.83333333333333" customWidth="1"/>
    <col min="5" max="6" width="8.83333333333333" customWidth="1"/>
    <col min="7" max="7" width="15.0833333333333" customWidth="1"/>
    <col min="8" max="8" width="7.91666666666667" customWidth="1"/>
    <col min="9" max="9" width="32" customWidth="1"/>
    <col min="10" max="10" width="7.25" customWidth="1"/>
    <col min="11" max="11" width="32.4166666666667" customWidth="1"/>
    <col min="12" max="12" width="33.25" customWidth="1"/>
  </cols>
  <sheetData>
    <row r="1" spans="1:11">
      <c r="A1" s="1" t="s">
        <v>4</v>
      </c>
      <c r="B1" s="2" t="s">
        <v>5</v>
      </c>
      <c r="C1" s="2" t="s">
        <v>6</v>
      </c>
      <c r="D1" s="2" t="s">
        <v>8</v>
      </c>
      <c r="E1" s="2" t="s">
        <v>9</v>
      </c>
      <c r="F1" s="2" t="s">
        <v>10</v>
      </c>
      <c r="G1" s="3" t="s">
        <v>48</v>
      </c>
      <c r="H1" s="2" t="s">
        <v>49</v>
      </c>
      <c r="I1" s="4" t="s">
        <v>11</v>
      </c>
      <c r="J1" s="5" t="s">
        <v>50</v>
      </c>
    </row>
    <row r="2" customHeight="1" spans="1:11">
      <c r="A2" s="6">
        <v>1</v>
      </c>
      <c r="B2" s="7" t="s">
        <v>1043</v>
      </c>
      <c r="C2" s="8" t="s">
        <v>1044</v>
      </c>
      <c r="D2" s="6" t="s">
        <v>15</v>
      </c>
      <c r="E2" s="6" t="s">
        <v>52</v>
      </c>
      <c r="F2" s="6">
        <v>0</v>
      </c>
      <c r="G2" s="6" t="s">
        <v>260</v>
      </c>
      <c r="H2" s="6">
        <v>1</v>
      </c>
      <c r="I2" s="9" t="s">
        <v>1045</v>
      </c>
      <c r="J2" s="10">
        <v>1</v>
      </c>
      <c r="K2" s="7" t="s">
        <v>1046</v>
      </c>
    </row>
    <row r="3" spans="1:11">
      <c r="A3" s="6">
        <v>2</v>
      </c>
      <c r="B3" s="11" t="s">
        <v>1047</v>
      </c>
      <c r="C3" s="8" t="s">
        <v>1048</v>
      </c>
      <c r="D3" s="6" t="s">
        <v>15</v>
      </c>
      <c r="E3" s="6" t="s">
        <v>52</v>
      </c>
      <c r="F3" s="6">
        <v>60</v>
      </c>
      <c r="G3" s="6" t="s">
        <v>1049</v>
      </c>
      <c r="H3" s="6">
        <v>1</v>
      </c>
      <c r="I3" s="7" t="s">
        <v>1050</v>
      </c>
      <c r="J3" s="10">
        <v>1</v>
      </c>
      <c r="K3" s="12" t="s">
        <v>1051</v>
      </c>
    </row>
    <row r="4" spans="1:11">
      <c r="A4" s="6">
        <v>3</v>
      </c>
      <c r="B4" s="11" t="s">
        <v>1052</v>
      </c>
      <c r="C4" s="8" t="s">
        <v>1053</v>
      </c>
      <c r="D4" s="6" t="s">
        <v>15</v>
      </c>
      <c r="E4" s="6" t="s">
        <v>52</v>
      </c>
      <c r="F4" s="6">
        <v>60</v>
      </c>
      <c r="G4" s="6" t="s">
        <v>1054</v>
      </c>
      <c r="H4" s="6">
        <v>1</v>
      </c>
      <c r="I4" s="7" t="s">
        <v>1055</v>
      </c>
      <c r="J4" s="10">
        <v>1</v>
      </c>
      <c r="K4" s="13"/>
    </row>
    <row r="5" spans="1:11">
      <c r="A5" s="6">
        <v>4</v>
      </c>
      <c r="B5" s="11" t="s">
        <v>1056</v>
      </c>
      <c r="C5" s="8" t="s">
        <v>1057</v>
      </c>
      <c r="D5" s="6" t="s">
        <v>15</v>
      </c>
      <c r="E5" s="6" t="s">
        <v>52</v>
      </c>
      <c r="F5" s="6">
        <v>9</v>
      </c>
      <c r="G5" s="6" t="s">
        <v>1058</v>
      </c>
      <c r="H5" s="6">
        <v>1</v>
      </c>
      <c r="I5" s="7" t="s">
        <v>1059</v>
      </c>
      <c r="J5" s="10">
        <v>1</v>
      </c>
      <c r="K5" s="13"/>
    </row>
    <row r="6" spans="1:11">
      <c r="A6" s="6">
        <v>5</v>
      </c>
      <c r="B6" s="11" t="s">
        <v>1060</v>
      </c>
      <c r="C6" s="8" t="s">
        <v>1061</v>
      </c>
      <c r="D6" s="6" t="s">
        <v>15</v>
      </c>
      <c r="E6" s="6" t="s">
        <v>52</v>
      </c>
      <c r="F6" s="6">
        <v>9</v>
      </c>
      <c r="G6" s="6" t="s">
        <v>1058</v>
      </c>
      <c r="H6" s="6">
        <v>1</v>
      </c>
      <c r="I6" s="7" t="s">
        <v>1062</v>
      </c>
      <c r="J6" s="10">
        <v>1</v>
      </c>
      <c r="K6" s="14"/>
    </row>
    <row r="7" spans="1:11">
      <c r="A7" s="6">
        <v>6</v>
      </c>
      <c r="B7" s="7" t="s">
        <v>1063</v>
      </c>
      <c r="C7" s="8" t="s">
        <v>1064</v>
      </c>
      <c r="D7" s="6" t="s">
        <v>15</v>
      </c>
      <c r="E7" s="6" t="s">
        <v>52</v>
      </c>
      <c r="F7" s="8">
        <v>230</v>
      </c>
      <c r="G7" s="6" t="s">
        <v>1065</v>
      </c>
      <c r="H7" s="6">
        <v>1</v>
      </c>
      <c r="I7" s="7" t="s">
        <v>1066</v>
      </c>
      <c r="J7" s="10">
        <v>1</v>
      </c>
      <c r="K7" s="8" t="s">
        <v>1067</v>
      </c>
    </row>
    <row r="8" spans="1:11">
      <c r="A8" s="6">
        <v>7</v>
      </c>
      <c r="B8" s="11" t="s">
        <v>1068</v>
      </c>
      <c r="C8" s="8" t="s">
        <v>1069</v>
      </c>
      <c r="D8" s="6" t="s">
        <v>15</v>
      </c>
      <c r="E8" s="6" t="s">
        <v>52</v>
      </c>
      <c r="F8" s="6">
        <v>0</v>
      </c>
      <c r="G8" s="6" t="s">
        <v>100</v>
      </c>
      <c r="H8" s="6">
        <v>1</v>
      </c>
      <c r="I8" s="7" t="s">
        <v>1070</v>
      </c>
      <c r="J8" s="10">
        <v>1</v>
      </c>
      <c r="K8" s="12" t="s">
        <v>1071</v>
      </c>
    </row>
    <row r="9" spans="1:11">
      <c r="A9" s="6">
        <v>8</v>
      </c>
      <c r="B9" s="15" t="s">
        <v>1072</v>
      </c>
      <c r="C9" s="8" t="s">
        <v>1073</v>
      </c>
      <c r="D9" s="6" t="s">
        <v>15</v>
      </c>
      <c r="E9" s="6" t="s">
        <v>52</v>
      </c>
      <c r="F9" s="8">
        <v>0</v>
      </c>
      <c r="G9" s="6" t="s">
        <v>100</v>
      </c>
      <c r="H9" s="6">
        <v>1</v>
      </c>
      <c r="I9" s="7" t="s">
        <v>1074</v>
      </c>
      <c r="J9" s="10">
        <v>1</v>
      </c>
      <c r="K9" s="13"/>
    </row>
    <row r="10" spans="1:11">
      <c r="A10" s="6">
        <v>9</v>
      </c>
      <c r="B10" s="15" t="s">
        <v>1075</v>
      </c>
      <c r="C10" s="8" t="s">
        <v>1076</v>
      </c>
      <c r="D10" s="6" t="s">
        <v>15</v>
      </c>
      <c r="E10" s="6" t="s">
        <v>52</v>
      </c>
      <c r="F10" s="6">
        <v>1</v>
      </c>
      <c r="G10" s="6" t="s">
        <v>100</v>
      </c>
      <c r="H10" s="6">
        <v>1</v>
      </c>
      <c r="I10" s="7" t="s">
        <v>1077</v>
      </c>
      <c r="J10" s="10">
        <v>1</v>
      </c>
      <c r="K10" s="13"/>
    </row>
    <row r="11" spans="1:11">
      <c r="A11" s="6">
        <v>10</v>
      </c>
      <c r="B11" s="15" t="s">
        <v>1078</v>
      </c>
      <c r="C11" s="8" t="s">
        <v>1079</v>
      </c>
      <c r="D11" s="6" t="s">
        <v>15</v>
      </c>
      <c r="E11" s="6" t="s">
        <v>52</v>
      </c>
      <c r="F11" s="6">
        <v>9</v>
      </c>
      <c r="G11" s="6" t="s">
        <v>245</v>
      </c>
      <c r="H11" s="6">
        <v>0.01</v>
      </c>
      <c r="I11" s="9" t="s">
        <v>1080</v>
      </c>
      <c r="J11" s="10">
        <v>1</v>
      </c>
      <c r="K11" s="13"/>
    </row>
    <row r="12" spans="1:11">
      <c r="A12" s="6">
        <v>11</v>
      </c>
      <c r="B12" s="15" t="s">
        <v>1081</v>
      </c>
      <c r="C12" s="8" t="s">
        <v>1082</v>
      </c>
      <c r="D12" s="6" t="s">
        <v>15</v>
      </c>
      <c r="E12" s="6" t="s">
        <v>52</v>
      </c>
      <c r="F12" s="6">
        <v>9</v>
      </c>
      <c r="G12" s="6" t="s">
        <v>245</v>
      </c>
      <c r="H12" s="6">
        <v>0.01</v>
      </c>
      <c r="I12" s="7" t="s">
        <v>1083</v>
      </c>
      <c r="J12" s="10">
        <v>1</v>
      </c>
      <c r="K12" s="13"/>
    </row>
    <row r="13" spans="1:11">
      <c r="A13" s="6">
        <v>12</v>
      </c>
      <c r="B13" s="15" t="s">
        <v>1084</v>
      </c>
      <c r="C13" s="8" t="s">
        <v>1085</v>
      </c>
      <c r="D13" s="6" t="s">
        <v>15</v>
      </c>
      <c r="E13" s="6" t="s">
        <v>52</v>
      </c>
      <c r="F13" s="8">
        <v>30</v>
      </c>
      <c r="G13" s="6" t="s">
        <v>260</v>
      </c>
      <c r="H13" s="6">
        <v>1</v>
      </c>
      <c r="I13" s="7" t="s">
        <v>1086</v>
      </c>
      <c r="J13" s="10">
        <v>1</v>
      </c>
      <c r="K13" s="14"/>
    </row>
    <row r="14" spans="1:11">
      <c r="A14" s="6">
        <v>13</v>
      </c>
      <c r="B14" s="7" t="s">
        <v>1087</v>
      </c>
      <c r="C14" s="8" t="s">
        <v>1088</v>
      </c>
      <c r="D14" s="6" t="s">
        <v>15</v>
      </c>
      <c r="E14" s="6" t="s">
        <v>52</v>
      </c>
      <c r="F14" s="6">
        <v>264.5</v>
      </c>
      <c r="G14" s="6" t="s">
        <v>1089</v>
      </c>
      <c r="H14" s="6">
        <v>0.1</v>
      </c>
      <c r="I14" s="16" t="s">
        <v>1090</v>
      </c>
      <c r="J14" s="10">
        <v>1</v>
      </c>
      <c r="K14" s="12" t="s">
        <v>1091</v>
      </c>
    </row>
    <row r="15" spans="1:11">
      <c r="A15" s="6">
        <v>14</v>
      </c>
      <c r="B15" s="7" t="s">
        <v>1092</v>
      </c>
      <c r="C15" s="8" t="s">
        <v>1093</v>
      </c>
      <c r="D15" s="6" t="s">
        <v>15</v>
      </c>
      <c r="E15" s="6" t="s">
        <v>52</v>
      </c>
      <c r="F15" s="6">
        <v>287.5</v>
      </c>
      <c r="G15" s="6" t="s">
        <v>1094</v>
      </c>
      <c r="H15" s="6">
        <v>0.1</v>
      </c>
      <c r="I15" s="16" t="s">
        <v>1095</v>
      </c>
      <c r="J15" s="10">
        <v>1</v>
      </c>
      <c r="K15" s="13"/>
    </row>
    <row r="16" spans="1:11">
      <c r="A16" s="6">
        <v>15</v>
      </c>
      <c r="B16" s="7" t="s">
        <v>1096</v>
      </c>
      <c r="C16" s="8" t="s">
        <v>1097</v>
      </c>
      <c r="D16" s="6" t="s">
        <v>15</v>
      </c>
      <c r="E16" s="6" t="s">
        <v>52</v>
      </c>
      <c r="F16" s="6">
        <v>300</v>
      </c>
      <c r="G16" s="6" t="s">
        <v>1094</v>
      </c>
      <c r="H16" s="6">
        <v>0.1</v>
      </c>
      <c r="I16" s="16" t="s">
        <v>1098</v>
      </c>
      <c r="J16" s="10">
        <v>1</v>
      </c>
      <c r="K16" s="13"/>
    </row>
    <row r="17" spans="1:11">
      <c r="A17" s="6">
        <v>16</v>
      </c>
      <c r="B17" s="7" t="s">
        <v>1099</v>
      </c>
      <c r="C17" s="8" t="s">
        <v>1100</v>
      </c>
      <c r="D17" s="6" t="s">
        <v>15</v>
      </c>
      <c r="E17" s="6" t="s">
        <v>52</v>
      </c>
      <c r="F17" s="6">
        <v>195.5</v>
      </c>
      <c r="G17" s="6" t="s">
        <v>1101</v>
      </c>
      <c r="H17" s="6">
        <v>0.1</v>
      </c>
      <c r="I17" s="16" t="s">
        <v>1102</v>
      </c>
      <c r="J17" s="10">
        <v>1</v>
      </c>
      <c r="K17" s="13"/>
    </row>
    <row r="18" spans="1:11">
      <c r="A18" s="6">
        <v>17</v>
      </c>
      <c r="B18" s="7" t="s">
        <v>1103</v>
      </c>
      <c r="C18" s="8" t="s">
        <v>1104</v>
      </c>
      <c r="D18" s="6" t="s">
        <v>15</v>
      </c>
      <c r="E18" s="6" t="s">
        <v>52</v>
      </c>
      <c r="F18" s="6">
        <v>92</v>
      </c>
      <c r="G18" s="6" t="s">
        <v>1105</v>
      </c>
      <c r="H18" s="6">
        <v>0.1</v>
      </c>
      <c r="I18" s="16" t="s">
        <v>1106</v>
      </c>
      <c r="J18" s="10">
        <v>1</v>
      </c>
      <c r="K18" s="13"/>
    </row>
    <row r="19" spans="1:11">
      <c r="A19" s="6">
        <v>18</v>
      </c>
      <c r="B19" s="7" t="s">
        <v>1107</v>
      </c>
      <c r="C19" s="8" t="s">
        <v>1108</v>
      </c>
      <c r="D19" s="6" t="s">
        <v>15</v>
      </c>
      <c r="E19" s="6" t="s">
        <v>52</v>
      </c>
      <c r="F19" s="6">
        <v>5</v>
      </c>
      <c r="G19" s="6" t="s">
        <v>1105</v>
      </c>
      <c r="H19" s="6">
        <v>0.1</v>
      </c>
      <c r="I19" s="16" t="s">
        <v>1109</v>
      </c>
      <c r="J19" s="10">
        <v>1</v>
      </c>
      <c r="K19" s="13"/>
    </row>
    <row r="20" spans="1:11">
      <c r="A20" s="6">
        <v>19</v>
      </c>
      <c r="B20" s="7" t="s">
        <v>1110</v>
      </c>
      <c r="C20" s="8" t="s">
        <v>1111</v>
      </c>
      <c r="D20" s="6" t="s">
        <v>15</v>
      </c>
      <c r="E20" s="6" t="s">
        <v>52</v>
      </c>
      <c r="F20" s="6">
        <v>253</v>
      </c>
      <c r="G20" s="6" t="s">
        <v>1089</v>
      </c>
      <c r="H20" s="6">
        <v>0.1</v>
      </c>
      <c r="I20" s="16" t="s">
        <v>1112</v>
      </c>
      <c r="J20" s="10">
        <v>1</v>
      </c>
      <c r="K20" s="13"/>
    </row>
    <row r="21" spans="1:11">
      <c r="A21" s="6">
        <v>20</v>
      </c>
      <c r="B21" s="7" t="s">
        <v>1113</v>
      </c>
      <c r="C21" s="8" t="s">
        <v>1114</v>
      </c>
      <c r="D21" s="6" t="s">
        <v>15</v>
      </c>
      <c r="E21" s="6" t="s">
        <v>52</v>
      </c>
      <c r="F21" s="6">
        <v>195.5</v>
      </c>
      <c r="G21" s="6" t="s">
        <v>1115</v>
      </c>
      <c r="H21" s="6">
        <v>0.1</v>
      </c>
      <c r="I21" s="16" t="s">
        <v>1116</v>
      </c>
      <c r="J21" s="10">
        <v>1</v>
      </c>
      <c r="K21" s="13"/>
    </row>
    <row r="22" spans="1:11">
      <c r="A22" s="6">
        <v>21</v>
      </c>
      <c r="B22" s="7" t="s">
        <v>1117</v>
      </c>
      <c r="C22" s="8" t="s">
        <v>1118</v>
      </c>
      <c r="D22" s="6" t="s">
        <v>15</v>
      </c>
      <c r="E22" s="6" t="s">
        <v>52</v>
      </c>
      <c r="F22" s="6">
        <v>253</v>
      </c>
      <c r="G22" s="6" t="s">
        <v>1089</v>
      </c>
      <c r="H22" s="6">
        <v>0.1</v>
      </c>
      <c r="I22" s="16" t="s">
        <v>1119</v>
      </c>
      <c r="J22" s="10">
        <v>1</v>
      </c>
      <c r="K22" s="13"/>
    </row>
    <row r="23" spans="1:11">
      <c r="A23" s="6">
        <v>22</v>
      </c>
      <c r="B23" s="7" t="s">
        <v>1120</v>
      </c>
      <c r="C23" s="8" t="s">
        <v>1121</v>
      </c>
      <c r="D23" s="6" t="s">
        <v>15</v>
      </c>
      <c r="E23" s="6" t="s">
        <v>52</v>
      </c>
      <c r="F23" s="6">
        <v>195.5</v>
      </c>
      <c r="G23" s="6" t="s">
        <v>1115</v>
      </c>
      <c r="H23" s="6">
        <v>0.1</v>
      </c>
      <c r="I23" s="16" t="s">
        <v>1122</v>
      </c>
      <c r="J23" s="10">
        <v>1</v>
      </c>
      <c r="K23" s="13"/>
    </row>
    <row r="24" spans="1:11">
      <c r="A24" s="6">
        <v>23</v>
      </c>
      <c r="B24" s="7" t="s">
        <v>1123</v>
      </c>
      <c r="C24" s="8" t="s">
        <v>1124</v>
      </c>
      <c r="D24" s="6" t="s">
        <v>15</v>
      </c>
      <c r="E24" s="6" t="s">
        <v>52</v>
      </c>
      <c r="F24" s="6">
        <v>150</v>
      </c>
      <c r="G24" s="6" t="s">
        <v>1125</v>
      </c>
      <c r="H24" s="6">
        <v>1</v>
      </c>
      <c r="I24" s="16" t="s">
        <v>1126</v>
      </c>
      <c r="J24" s="10">
        <v>1</v>
      </c>
      <c r="K24" s="13"/>
    </row>
    <row r="25" spans="1:11">
      <c r="A25" s="6">
        <v>24</v>
      </c>
      <c r="B25" s="7" t="s">
        <v>1127</v>
      </c>
      <c r="C25" s="8" t="s">
        <v>1128</v>
      </c>
      <c r="D25" s="6" t="s">
        <v>15</v>
      </c>
      <c r="E25" s="6" t="s">
        <v>52</v>
      </c>
      <c r="F25" s="6">
        <v>10</v>
      </c>
      <c r="G25" s="6" t="s">
        <v>1129</v>
      </c>
      <c r="H25" s="6">
        <v>1</v>
      </c>
      <c r="I25" s="16" t="s">
        <v>1130</v>
      </c>
      <c r="J25" s="10">
        <v>1</v>
      </c>
      <c r="K25" s="13"/>
    </row>
    <row r="26" spans="1:11">
      <c r="A26" s="6">
        <v>25</v>
      </c>
      <c r="B26" s="7" t="s">
        <v>1131</v>
      </c>
      <c r="C26" s="8" t="s">
        <v>1132</v>
      </c>
      <c r="D26" s="6" t="s">
        <v>15</v>
      </c>
      <c r="E26" s="6" t="s">
        <v>52</v>
      </c>
      <c r="F26" s="6">
        <v>10</v>
      </c>
      <c r="G26" s="6" t="s">
        <v>1129</v>
      </c>
      <c r="H26" s="6">
        <v>1</v>
      </c>
      <c r="I26" s="16" t="s">
        <v>1133</v>
      </c>
      <c r="J26" s="10">
        <v>1</v>
      </c>
      <c r="K26" s="13"/>
    </row>
    <row r="27" spans="1:11">
      <c r="A27" s="6">
        <v>26</v>
      </c>
      <c r="B27" s="7" t="s">
        <v>1134</v>
      </c>
      <c r="C27" s="8" t="s">
        <v>1135</v>
      </c>
      <c r="D27" s="6" t="s">
        <v>15</v>
      </c>
      <c r="E27" s="6" t="s">
        <v>52</v>
      </c>
      <c r="F27" s="6">
        <v>300</v>
      </c>
      <c r="G27" s="6" t="s">
        <v>1136</v>
      </c>
      <c r="H27" s="6">
        <v>1</v>
      </c>
      <c r="I27" s="16" t="s">
        <v>1137</v>
      </c>
      <c r="J27" s="10">
        <v>1</v>
      </c>
      <c r="K27" s="13"/>
    </row>
    <row r="28" spans="1:11">
      <c r="A28" s="6">
        <v>27</v>
      </c>
      <c r="B28" s="7" t="s">
        <v>1138</v>
      </c>
      <c r="C28" s="8" t="s">
        <v>1139</v>
      </c>
      <c r="D28" s="6" t="s">
        <v>15</v>
      </c>
      <c r="E28" s="6" t="s">
        <v>52</v>
      </c>
      <c r="F28" s="6">
        <v>150</v>
      </c>
      <c r="G28" s="6" t="s">
        <v>1129</v>
      </c>
      <c r="H28" s="6">
        <v>1</v>
      </c>
      <c r="I28" s="16" t="s">
        <v>1140</v>
      </c>
      <c r="J28" s="10">
        <v>1</v>
      </c>
      <c r="K28" s="13"/>
    </row>
    <row r="29" spans="1:11">
      <c r="A29" s="6">
        <v>28</v>
      </c>
      <c r="B29" s="7" t="s">
        <v>1141</v>
      </c>
      <c r="C29" s="8" t="s">
        <v>1142</v>
      </c>
      <c r="D29" s="6" t="s">
        <v>15</v>
      </c>
      <c r="E29" s="6" t="s">
        <v>52</v>
      </c>
      <c r="F29" s="6">
        <v>150</v>
      </c>
      <c r="G29" s="6" t="s">
        <v>1129</v>
      </c>
      <c r="H29" s="6">
        <v>1</v>
      </c>
      <c r="I29" s="16" t="s">
        <v>1143</v>
      </c>
      <c r="J29" s="10">
        <v>1</v>
      </c>
      <c r="K29" s="13"/>
    </row>
    <row r="30" spans="1:11">
      <c r="A30" s="6">
        <v>29</v>
      </c>
      <c r="B30" s="7" t="s">
        <v>1144</v>
      </c>
      <c r="C30" s="8" t="s">
        <v>1145</v>
      </c>
      <c r="D30" s="6" t="s">
        <v>15</v>
      </c>
      <c r="E30" s="6" t="s">
        <v>52</v>
      </c>
      <c r="F30" s="6">
        <v>500</v>
      </c>
      <c r="G30" s="6" t="s">
        <v>1129</v>
      </c>
      <c r="H30" s="6">
        <v>1</v>
      </c>
      <c r="I30" s="16" t="s">
        <v>1146</v>
      </c>
      <c r="J30" s="10">
        <v>1</v>
      </c>
      <c r="K30" s="13"/>
    </row>
    <row r="31" spans="1:11">
      <c r="A31" s="6">
        <v>30</v>
      </c>
      <c r="B31" s="7" t="s">
        <v>1147</v>
      </c>
      <c r="C31" s="8" t="s">
        <v>1148</v>
      </c>
      <c r="D31" s="6" t="s">
        <v>15</v>
      </c>
      <c r="E31" s="6" t="s">
        <v>52</v>
      </c>
      <c r="F31" s="6">
        <v>0</v>
      </c>
      <c r="G31" s="6" t="s">
        <v>1129</v>
      </c>
      <c r="H31" s="6">
        <v>1</v>
      </c>
      <c r="I31" s="16" t="s">
        <v>1149</v>
      </c>
      <c r="J31" s="10">
        <v>1</v>
      </c>
      <c r="K31" s="14"/>
    </row>
    <row r="32" spans="1:11">
      <c r="A32" s="6">
        <v>31</v>
      </c>
      <c r="B32" s="15" t="s">
        <v>1150</v>
      </c>
      <c r="C32" s="8" t="s">
        <v>1151</v>
      </c>
      <c r="D32" s="6" t="s">
        <v>15</v>
      </c>
      <c r="E32" s="6" t="s">
        <v>52</v>
      </c>
      <c r="F32" s="6">
        <v>253</v>
      </c>
      <c r="G32" s="6" t="s">
        <v>1089</v>
      </c>
      <c r="H32" s="6">
        <v>0.1</v>
      </c>
      <c r="I32" s="7" t="s">
        <v>1152</v>
      </c>
      <c r="J32" s="10">
        <v>1</v>
      </c>
      <c r="K32" s="12" t="s">
        <v>1153</v>
      </c>
    </row>
    <row r="33" spans="1:11">
      <c r="A33" s="6">
        <v>32</v>
      </c>
      <c r="B33" s="15" t="s">
        <v>1154</v>
      </c>
      <c r="C33" s="8" t="s">
        <v>1155</v>
      </c>
      <c r="D33" s="6" t="s">
        <v>15</v>
      </c>
      <c r="E33" s="6" t="s">
        <v>52</v>
      </c>
      <c r="F33" s="8">
        <v>250</v>
      </c>
      <c r="G33" s="6" t="s">
        <v>1089</v>
      </c>
      <c r="H33" s="8">
        <v>1</v>
      </c>
      <c r="I33" s="7" t="s">
        <v>1156</v>
      </c>
      <c r="J33" s="10">
        <v>1</v>
      </c>
      <c r="K33" s="13"/>
    </row>
    <row r="34" spans="1:11">
      <c r="A34" s="6">
        <v>33</v>
      </c>
      <c r="B34" s="15" t="s">
        <v>1157</v>
      </c>
      <c r="C34" s="8" t="s">
        <v>1158</v>
      </c>
      <c r="D34" s="6" t="s">
        <v>15</v>
      </c>
      <c r="E34" s="6" t="s">
        <v>52</v>
      </c>
      <c r="F34" s="8">
        <v>600</v>
      </c>
      <c r="G34" s="6" t="s">
        <v>1159</v>
      </c>
      <c r="H34" s="8">
        <v>1</v>
      </c>
      <c r="I34" s="7" t="s">
        <v>1160</v>
      </c>
      <c r="J34" s="10">
        <v>1</v>
      </c>
      <c r="K34" s="13"/>
    </row>
    <row r="35" spans="1:11">
      <c r="A35" s="6">
        <v>34</v>
      </c>
      <c r="B35" s="15" t="s">
        <v>1161</v>
      </c>
      <c r="C35" s="8" t="s">
        <v>1162</v>
      </c>
      <c r="D35" s="6" t="s">
        <v>15</v>
      </c>
      <c r="E35" s="6" t="s">
        <v>52</v>
      </c>
      <c r="F35" s="8">
        <v>5</v>
      </c>
      <c r="G35" s="6" t="s">
        <v>1163</v>
      </c>
      <c r="H35" s="8">
        <v>1</v>
      </c>
      <c r="I35" s="7" t="s">
        <v>1164</v>
      </c>
      <c r="J35" s="10">
        <v>1</v>
      </c>
      <c r="K35" s="14"/>
    </row>
    <row r="36" spans="1:11">
      <c r="A36" s="6">
        <v>35</v>
      </c>
      <c r="B36" s="7" t="s">
        <v>1165</v>
      </c>
      <c r="C36" s="8" t="s">
        <v>1166</v>
      </c>
      <c r="D36" s="6" t="s">
        <v>15</v>
      </c>
      <c r="E36" s="6" t="s">
        <v>52</v>
      </c>
      <c r="F36" s="6">
        <v>1</v>
      </c>
      <c r="G36" s="6" t="s">
        <v>62</v>
      </c>
      <c r="H36" s="6">
        <v>1</v>
      </c>
      <c r="I36" s="16" t="s">
        <v>1167</v>
      </c>
      <c r="J36" s="10">
        <v>1</v>
      </c>
      <c r="K36" s="12" t="s">
        <v>1168</v>
      </c>
    </row>
    <row r="37" spans="1:11">
      <c r="A37" s="6">
        <v>36</v>
      </c>
      <c r="B37" s="7" t="s">
        <v>1169</v>
      </c>
      <c r="C37" s="8" t="s">
        <v>1170</v>
      </c>
      <c r="D37" s="6" t="s">
        <v>15</v>
      </c>
      <c r="E37" s="6" t="s">
        <v>52</v>
      </c>
      <c r="F37" s="6">
        <v>51.5</v>
      </c>
      <c r="G37" s="6" t="s">
        <v>1171</v>
      </c>
      <c r="H37" s="6">
        <v>0.01</v>
      </c>
      <c r="I37" s="16" t="s">
        <v>1172</v>
      </c>
      <c r="J37" s="10">
        <v>1</v>
      </c>
      <c r="K37" s="13"/>
    </row>
    <row r="38" spans="1:11">
      <c r="A38" s="6">
        <v>37</v>
      </c>
      <c r="B38" s="7" t="s">
        <v>1173</v>
      </c>
      <c r="C38" s="8" t="s">
        <v>1174</v>
      </c>
      <c r="D38" s="6" t="s">
        <v>15</v>
      </c>
      <c r="E38" s="6" t="s">
        <v>52</v>
      </c>
      <c r="F38" s="6">
        <v>52</v>
      </c>
      <c r="G38" s="6" t="s">
        <v>1171</v>
      </c>
      <c r="H38" s="6">
        <v>0.01</v>
      </c>
      <c r="I38" s="16" t="s">
        <v>1175</v>
      </c>
      <c r="J38" s="10">
        <v>1</v>
      </c>
      <c r="K38" s="13"/>
    </row>
    <row r="39" spans="1:11">
      <c r="A39" s="6">
        <v>38</v>
      </c>
      <c r="B39" s="7" t="s">
        <v>1176</v>
      </c>
      <c r="C39" s="8" t="s">
        <v>1177</v>
      </c>
      <c r="D39" s="6" t="s">
        <v>15</v>
      </c>
      <c r="E39" s="6" t="s">
        <v>52</v>
      </c>
      <c r="F39" s="6">
        <v>47.5</v>
      </c>
      <c r="G39" s="6" t="s">
        <v>1178</v>
      </c>
      <c r="H39" s="6">
        <v>0.01</v>
      </c>
      <c r="I39" s="16" t="s">
        <v>1179</v>
      </c>
      <c r="J39" s="10">
        <v>1</v>
      </c>
      <c r="K39" s="13"/>
    </row>
    <row r="40" spans="1:11">
      <c r="A40" s="6">
        <v>39</v>
      </c>
      <c r="B40" s="7" t="s">
        <v>1180</v>
      </c>
      <c r="C40" s="8" t="s">
        <v>1181</v>
      </c>
      <c r="D40" s="6" t="s">
        <v>15</v>
      </c>
      <c r="E40" s="6" t="s">
        <v>52</v>
      </c>
      <c r="F40" s="6">
        <v>47</v>
      </c>
      <c r="G40" s="6" t="s">
        <v>1178</v>
      </c>
      <c r="H40" s="6">
        <v>0.01</v>
      </c>
      <c r="I40" s="16" t="s">
        <v>1182</v>
      </c>
      <c r="J40" s="10">
        <v>1</v>
      </c>
      <c r="K40" s="13"/>
    </row>
    <row r="41" spans="1:11">
      <c r="A41" s="6">
        <v>40</v>
      </c>
      <c r="B41" s="7" t="s">
        <v>1183</v>
      </c>
      <c r="C41" s="8" t="s">
        <v>1184</v>
      </c>
      <c r="D41" s="6" t="s">
        <v>15</v>
      </c>
      <c r="E41" s="6" t="s">
        <v>52</v>
      </c>
      <c r="F41" s="6">
        <v>50.1</v>
      </c>
      <c r="G41" s="6" t="s">
        <v>1171</v>
      </c>
      <c r="H41" s="6">
        <v>0.01</v>
      </c>
      <c r="I41" s="16" t="s">
        <v>1112</v>
      </c>
      <c r="J41" s="10">
        <v>1</v>
      </c>
      <c r="K41" s="13"/>
    </row>
    <row r="42" spans="1:11">
      <c r="A42" s="6">
        <v>41</v>
      </c>
      <c r="B42" s="7" t="s">
        <v>1185</v>
      </c>
      <c r="C42" s="8" t="s">
        <v>1186</v>
      </c>
      <c r="D42" s="6" t="s">
        <v>15</v>
      </c>
      <c r="E42" s="6" t="s">
        <v>52</v>
      </c>
      <c r="F42" s="6">
        <v>49.5</v>
      </c>
      <c r="G42" s="6" t="s">
        <v>1178</v>
      </c>
      <c r="H42" s="6">
        <v>0.01</v>
      </c>
      <c r="I42" s="16" t="s">
        <v>1116</v>
      </c>
      <c r="J42" s="10">
        <v>1</v>
      </c>
      <c r="K42" s="13"/>
    </row>
    <row r="43" spans="1:11">
      <c r="A43" s="6">
        <v>42</v>
      </c>
      <c r="B43" s="7" t="s">
        <v>1187</v>
      </c>
      <c r="C43" s="8" t="s">
        <v>1188</v>
      </c>
      <c r="D43" s="6" t="s">
        <v>15</v>
      </c>
      <c r="E43" s="6" t="s">
        <v>52</v>
      </c>
      <c r="F43" s="6">
        <v>50.2</v>
      </c>
      <c r="G43" s="6" t="s">
        <v>1171</v>
      </c>
      <c r="H43" s="6">
        <v>0.01</v>
      </c>
      <c r="I43" s="16" t="s">
        <v>1189</v>
      </c>
      <c r="J43" s="10">
        <v>1</v>
      </c>
      <c r="K43" s="13"/>
    </row>
    <row r="44" spans="1:11">
      <c r="A44" s="6">
        <v>43</v>
      </c>
      <c r="B44" s="7" t="s">
        <v>1190</v>
      </c>
      <c r="C44" s="8" t="s">
        <v>1191</v>
      </c>
      <c r="D44" s="6" t="s">
        <v>15</v>
      </c>
      <c r="E44" s="6" t="s">
        <v>52</v>
      </c>
      <c r="F44" s="6">
        <v>49.5</v>
      </c>
      <c r="G44" s="6" t="s">
        <v>1178</v>
      </c>
      <c r="H44" s="6">
        <v>0.01</v>
      </c>
      <c r="I44" s="16" t="s">
        <v>1192</v>
      </c>
      <c r="J44" s="10">
        <v>1</v>
      </c>
      <c r="K44" s="13"/>
    </row>
    <row r="45" spans="1:11">
      <c r="A45" s="6">
        <v>44</v>
      </c>
      <c r="B45" s="7" t="s">
        <v>1193</v>
      </c>
      <c r="C45" s="8" t="s">
        <v>1194</v>
      </c>
      <c r="D45" s="6" t="s">
        <v>15</v>
      </c>
      <c r="E45" s="6" t="s">
        <v>52</v>
      </c>
      <c r="F45" s="6">
        <v>500</v>
      </c>
      <c r="G45" s="6" t="s">
        <v>1195</v>
      </c>
      <c r="H45" s="6">
        <v>1</v>
      </c>
      <c r="I45" s="16" t="s">
        <v>1196</v>
      </c>
      <c r="J45" s="10">
        <v>1</v>
      </c>
      <c r="K45" s="13"/>
    </row>
    <row r="46" spans="1:11">
      <c r="A46" s="6">
        <v>45</v>
      </c>
      <c r="B46" s="7" t="s">
        <v>1197</v>
      </c>
      <c r="C46" s="8" t="s">
        <v>1198</v>
      </c>
      <c r="D46" s="6" t="s">
        <v>15</v>
      </c>
      <c r="E46" s="6" t="s">
        <v>52</v>
      </c>
      <c r="F46" s="6">
        <v>10</v>
      </c>
      <c r="G46" s="6" t="s">
        <v>1199</v>
      </c>
      <c r="H46" s="6">
        <v>1</v>
      </c>
      <c r="I46" s="16" t="s">
        <v>1200</v>
      </c>
      <c r="J46" s="10">
        <v>1</v>
      </c>
      <c r="K46" s="13"/>
    </row>
    <row r="47" spans="1:11">
      <c r="A47" s="6">
        <v>46</v>
      </c>
      <c r="B47" s="7" t="s">
        <v>1201</v>
      </c>
      <c r="C47" s="8" t="s">
        <v>1202</v>
      </c>
      <c r="D47" s="6" t="s">
        <v>15</v>
      </c>
      <c r="E47" s="6" t="s">
        <v>52</v>
      </c>
      <c r="F47" s="6">
        <v>500</v>
      </c>
      <c r="G47" s="6" t="s">
        <v>1195</v>
      </c>
      <c r="H47" s="6">
        <v>1</v>
      </c>
      <c r="I47" s="16" t="s">
        <v>1203</v>
      </c>
      <c r="J47" s="10">
        <v>1</v>
      </c>
      <c r="K47" s="13"/>
    </row>
    <row r="48" spans="1:11">
      <c r="A48" s="6">
        <v>47</v>
      </c>
      <c r="B48" s="7" t="s">
        <v>1204</v>
      </c>
      <c r="C48" s="8" t="s">
        <v>1205</v>
      </c>
      <c r="D48" s="6" t="s">
        <v>15</v>
      </c>
      <c r="E48" s="6" t="s">
        <v>52</v>
      </c>
      <c r="F48" s="6">
        <v>10</v>
      </c>
      <c r="G48" s="6" t="s">
        <v>1199</v>
      </c>
      <c r="H48" s="6">
        <v>1</v>
      </c>
      <c r="I48" s="16" t="s">
        <v>1206</v>
      </c>
      <c r="J48" s="10">
        <v>1</v>
      </c>
      <c r="K48" s="13"/>
    </row>
    <row r="49" spans="1:11">
      <c r="A49" s="6">
        <v>48</v>
      </c>
      <c r="B49" s="7" t="s">
        <v>1207</v>
      </c>
      <c r="C49" s="8" t="s">
        <v>1208</v>
      </c>
      <c r="D49" s="6" t="s">
        <v>15</v>
      </c>
      <c r="E49" s="6" t="s">
        <v>52</v>
      </c>
      <c r="F49" s="6">
        <v>500</v>
      </c>
      <c r="G49" s="6" t="s">
        <v>1199</v>
      </c>
      <c r="H49" s="6">
        <v>1</v>
      </c>
      <c r="I49" s="16" t="s">
        <v>1146</v>
      </c>
      <c r="J49" s="10">
        <v>1</v>
      </c>
      <c r="K49" s="13"/>
    </row>
    <row r="50" spans="1:11">
      <c r="A50" s="6">
        <v>49</v>
      </c>
      <c r="B50" s="7" t="s">
        <v>1209</v>
      </c>
      <c r="C50" s="8" t="s">
        <v>1210</v>
      </c>
      <c r="D50" s="6" t="s">
        <v>15</v>
      </c>
      <c r="E50" s="6" t="s">
        <v>52</v>
      </c>
      <c r="F50" s="6">
        <v>0</v>
      </c>
      <c r="G50" s="6" t="s">
        <v>1199</v>
      </c>
      <c r="H50" s="6">
        <v>1</v>
      </c>
      <c r="I50" s="16" t="s">
        <v>1211</v>
      </c>
      <c r="J50" s="10">
        <v>1</v>
      </c>
      <c r="K50" s="13"/>
    </row>
    <row r="51" spans="1:11">
      <c r="A51" s="6">
        <v>50</v>
      </c>
      <c r="B51" s="7" t="s">
        <v>1212</v>
      </c>
      <c r="C51" s="8" t="s">
        <v>1213</v>
      </c>
      <c r="D51" s="6" t="s">
        <v>15</v>
      </c>
      <c r="E51" s="6" t="s">
        <v>52</v>
      </c>
      <c r="F51" s="6">
        <v>0</v>
      </c>
      <c r="G51" s="6" t="s">
        <v>100</v>
      </c>
      <c r="H51" s="6">
        <v>1</v>
      </c>
      <c r="I51" s="16" t="s">
        <v>1214</v>
      </c>
      <c r="J51" s="10">
        <v>1</v>
      </c>
      <c r="K51" s="13"/>
    </row>
    <row r="52" spans="1:11">
      <c r="A52" s="6">
        <v>51</v>
      </c>
      <c r="B52" s="7" t="s">
        <v>1215</v>
      </c>
      <c r="C52" s="8" t="s">
        <v>1216</v>
      </c>
      <c r="D52" s="6" t="s">
        <v>15</v>
      </c>
      <c r="E52" s="6" t="s">
        <v>52</v>
      </c>
      <c r="F52" s="6">
        <v>0</v>
      </c>
      <c r="G52" s="6" t="s">
        <v>100</v>
      </c>
      <c r="H52" s="6">
        <v>1</v>
      </c>
      <c r="I52" s="16" t="s">
        <v>1217</v>
      </c>
      <c r="J52" s="10">
        <v>1</v>
      </c>
      <c r="K52" s="14"/>
    </row>
    <row r="53" spans="1:11">
      <c r="A53" s="6">
        <v>52</v>
      </c>
      <c r="B53" s="11" t="s">
        <v>1218</v>
      </c>
      <c r="C53" s="8" t="s">
        <v>1219</v>
      </c>
      <c r="D53" s="6" t="s">
        <v>15</v>
      </c>
      <c r="E53" s="6" t="s">
        <v>52</v>
      </c>
      <c r="F53" s="6">
        <v>2.5</v>
      </c>
      <c r="G53" s="17" t="s">
        <v>260</v>
      </c>
      <c r="H53" s="6">
        <v>0.1</v>
      </c>
      <c r="I53" s="16" t="s">
        <v>1220</v>
      </c>
      <c r="J53" s="10">
        <v>1</v>
      </c>
      <c r="K53" s="12" t="s">
        <v>1218</v>
      </c>
    </row>
    <row r="54" spans="1:11">
      <c r="A54" s="6">
        <v>53</v>
      </c>
      <c r="B54" s="11" t="s">
        <v>1221</v>
      </c>
      <c r="C54" s="8" t="s">
        <v>1222</v>
      </c>
      <c r="D54" s="6" t="s">
        <v>15</v>
      </c>
      <c r="E54" s="6" t="s">
        <v>52</v>
      </c>
      <c r="F54" s="6">
        <v>120</v>
      </c>
      <c r="G54" s="6" t="s">
        <v>1223</v>
      </c>
      <c r="H54" s="6">
        <v>1</v>
      </c>
      <c r="I54" s="16" t="s">
        <v>1224</v>
      </c>
      <c r="J54" s="10">
        <v>1</v>
      </c>
      <c r="K54" s="14"/>
    </row>
    <row r="55" spans="1:11">
      <c r="A55" s="6">
        <v>54</v>
      </c>
      <c r="B55" s="7" t="s">
        <v>1225</v>
      </c>
      <c r="C55" s="8" t="s">
        <v>1226</v>
      </c>
      <c r="D55" s="6" t="s">
        <v>15</v>
      </c>
      <c r="E55" s="6" t="s">
        <v>52</v>
      </c>
      <c r="F55" s="6">
        <v>50.2</v>
      </c>
      <c r="G55" s="6" t="s">
        <v>1227</v>
      </c>
      <c r="H55" s="6">
        <v>0.01</v>
      </c>
      <c r="I55" s="16" t="s">
        <v>1228</v>
      </c>
      <c r="J55" s="10">
        <v>1</v>
      </c>
      <c r="K55" s="12" t="s">
        <v>1229</v>
      </c>
    </row>
    <row r="56" spans="1:11">
      <c r="A56" s="6">
        <v>55</v>
      </c>
      <c r="B56" s="7" t="s">
        <v>1230</v>
      </c>
      <c r="C56" s="8" t="s">
        <v>1231</v>
      </c>
      <c r="D56" s="6" t="s">
        <v>15</v>
      </c>
      <c r="E56" s="6" t="s">
        <v>52</v>
      </c>
      <c r="F56" s="6">
        <v>50.2</v>
      </c>
      <c r="G56" s="6" t="s">
        <v>1227</v>
      </c>
      <c r="H56" s="6">
        <v>0.01</v>
      </c>
      <c r="I56" s="16" t="s">
        <v>1232</v>
      </c>
      <c r="J56" s="10">
        <v>1</v>
      </c>
      <c r="K56" s="13"/>
    </row>
    <row r="57" spans="1:11">
      <c r="A57" s="6">
        <v>56</v>
      </c>
      <c r="B57" s="7" t="s">
        <v>1233</v>
      </c>
      <c r="C57" s="8" t="s">
        <v>1234</v>
      </c>
      <c r="D57" s="6" t="s">
        <v>15</v>
      </c>
      <c r="E57" s="6" t="s">
        <v>52</v>
      </c>
      <c r="F57" s="6">
        <v>52</v>
      </c>
      <c r="G57" s="6" t="s">
        <v>1235</v>
      </c>
      <c r="H57" s="6">
        <v>0.01</v>
      </c>
      <c r="I57" s="16" t="s">
        <v>1236</v>
      </c>
      <c r="J57" s="10">
        <v>1</v>
      </c>
      <c r="K57" s="13"/>
    </row>
    <row r="58" spans="1:11">
      <c r="A58" s="6">
        <v>57</v>
      </c>
      <c r="B58" s="7" t="s">
        <v>1187</v>
      </c>
      <c r="C58" s="8" t="s">
        <v>1237</v>
      </c>
      <c r="D58" s="6" t="s">
        <v>15</v>
      </c>
      <c r="E58" s="6" t="s">
        <v>52</v>
      </c>
      <c r="F58" s="6">
        <v>50.1</v>
      </c>
      <c r="G58" s="6" t="s">
        <v>1227</v>
      </c>
      <c r="H58" s="6">
        <v>0.01</v>
      </c>
      <c r="I58" s="16" t="s">
        <v>1238</v>
      </c>
      <c r="J58" s="10">
        <v>1</v>
      </c>
      <c r="K58" s="13"/>
    </row>
    <row r="59" spans="1:11">
      <c r="A59" s="6">
        <v>58</v>
      </c>
      <c r="B59" s="7" t="s">
        <v>1239</v>
      </c>
      <c r="C59" s="8" t="s">
        <v>1240</v>
      </c>
      <c r="D59" s="6" t="s">
        <v>15</v>
      </c>
      <c r="E59" s="6" t="s">
        <v>52</v>
      </c>
      <c r="F59" s="6">
        <v>9</v>
      </c>
      <c r="G59" s="6" t="s">
        <v>260</v>
      </c>
      <c r="H59" s="6">
        <v>0.01</v>
      </c>
      <c r="I59" s="16" t="s">
        <v>1241</v>
      </c>
      <c r="J59" s="10">
        <v>1</v>
      </c>
      <c r="K59" s="13"/>
    </row>
    <row r="60" spans="1:11">
      <c r="A60" s="6">
        <v>59</v>
      </c>
      <c r="B60" s="7" t="s">
        <v>1242</v>
      </c>
      <c r="C60" s="8" t="s">
        <v>1243</v>
      </c>
      <c r="D60" s="6" t="s">
        <v>15</v>
      </c>
      <c r="E60" s="6" t="s">
        <v>52</v>
      </c>
      <c r="F60" s="6">
        <v>1</v>
      </c>
      <c r="G60" s="6" t="s">
        <v>100</v>
      </c>
      <c r="H60" s="6">
        <v>1</v>
      </c>
      <c r="I60" s="16" t="s">
        <v>1244</v>
      </c>
      <c r="J60" s="10">
        <v>1</v>
      </c>
      <c r="K60" s="13"/>
    </row>
    <row r="61" spans="1:11">
      <c r="A61" s="6">
        <v>60</v>
      </c>
      <c r="B61" s="7" t="s">
        <v>1245</v>
      </c>
      <c r="C61" s="8" t="s">
        <v>1246</v>
      </c>
      <c r="D61" s="6" t="s">
        <v>15</v>
      </c>
      <c r="E61" s="6" t="s">
        <v>52</v>
      </c>
      <c r="F61" s="6">
        <v>5</v>
      </c>
      <c r="G61" s="6" t="s">
        <v>1247</v>
      </c>
      <c r="H61" s="6">
        <v>0.1</v>
      </c>
      <c r="I61" s="16" t="s">
        <v>1248</v>
      </c>
      <c r="J61" s="10">
        <v>1</v>
      </c>
      <c r="K61" s="13"/>
    </row>
    <row r="62" spans="1:11">
      <c r="A62" s="6">
        <v>61</v>
      </c>
      <c r="B62" s="7" t="s">
        <v>1249</v>
      </c>
      <c r="C62" s="8" t="s">
        <v>1250</v>
      </c>
      <c r="D62" s="6" t="s">
        <v>15</v>
      </c>
      <c r="E62" s="6" t="s">
        <v>52</v>
      </c>
      <c r="F62" s="6">
        <v>1</v>
      </c>
      <c r="G62" s="6" t="s">
        <v>100</v>
      </c>
      <c r="H62" s="6">
        <v>1</v>
      </c>
      <c r="I62" s="16" t="s">
        <v>1251</v>
      </c>
      <c r="J62" s="10">
        <v>1</v>
      </c>
      <c r="K62" s="13"/>
    </row>
    <row r="63" spans="1:11">
      <c r="A63" s="6">
        <v>62</v>
      </c>
      <c r="B63" s="7" t="s">
        <v>1252</v>
      </c>
      <c r="C63" s="8" t="s">
        <v>1253</v>
      </c>
      <c r="D63" s="6" t="s">
        <v>15</v>
      </c>
      <c r="E63" s="6" t="s">
        <v>52</v>
      </c>
      <c r="F63" s="6">
        <v>0</v>
      </c>
      <c r="G63" s="6" t="s">
        <v>1223</v>
      </c>
      <c r="H63" s="6">
        <v>10</v>
      </c>
      <c r="I63" s="16" t="s">
        <v>1254</v>
      </c>
      <c r="J63" s="10">
        <v>1</v>
      </c>
      <c r="K63" s="13"/>
    </row>
    <row r="64" spans="1:11">
      <c r="A64" s="6">
        <v>63</v>
      </c>
      <c r="B64" s="7" t="s">
        <v>1255</v>
      </c>
      <c r="C64" s="8" t="s">
        <v>1256</v>
      </c>
      <c r="D64" s="6" t="s">
        <v>15</v>
      </c>
      <c r="E64" s="6" t="s">
        <v>52</v>
      </c>
      <c r="F64" s="6">
        <v>30</v>
      </c>
      <c r="G64" s="6" t="s">
        <v>245</v>
      </c>
      <c r="H64" s="6">
        <v>1</v>
      </c>
      <c r="I64" s="16" t="s">
        <v>1257</v>
      </c>
      <c r="J64" s="10">
        <v>1</v>
      </c>
      <c r="K64" s="13"/>
    </row>
    <row r="65" spans="1:11">
      <c r="A65" s="6">
        <v>64</v>
      </c>
      <c r="B65" s="7" t="s">
        <v>1258</v>
      </c>
      <c r="C65" s="8" t="s">
        <v>1259</v>
      </c>
      <c r="D65" s="6" t="s">
        <v>15</v>
      </c>
      <c r="E65" s="6" t="s">
        <v>52</v>
      </c>
      <c r="F65" s="6">
        <v>1</v>
      </c>
      <c r="G65" s="6" t="s">
        <v>59</v>
      </c>
      <c r="H65" s="6">
        <v>1</v>
      </c>
      <c r="I65" s="16" t="s">
        <v>1167</v>
      </c>
      <c r="J65" s="10">
        <v>1</v>
      </c>
      <c r="K65" s="14"/>
    </row>
    <row r="66" spans="1:11">
      <c r="A66" s="6">
        <v>65</v>
      </c>
      <c r="B66" s="18" t="s">
        <v>1260</v>
      </c>
      <c r="C66" s="8" t="s">
        <v>1261</v>
      </c>
      <c r="D66" s="6" t="s">
        <v>15</v>
      </c>
      <c r="E66" s="6" t="s">
        <v>52</v>
      </c>
      <c r="F66" s="6"/>
      <c r="G66" s="6">
        <v>0</v>
      </c>
      <c r="H66" s="6">
        <v>1</v>
      </c>
      <c r="I66" s="16" t="s">
        <v>1262</v>
      </c>
      <c r="J66" s="10">
        <v>1</v>
      </c>
      <c r="K66" s="12" t="s">
        <v>38</v>
      </c>
    </row>
    <row r="67" spans="1:11">
      <c r="A67" s="6">
        <v>66</v>
      </c>
      <c r="B67" s="18" t="s">
        <v>1263</v>
      </c>
      <c r="C67" s="8" t="s">
        <v>1264</v>
      </c>
      <c r="D67" s="6" t="s">
        <v>15</v>
      </c>
      <c r="E67" s="6" t="s">
        <v>52</v>
      </c>
      <c r="F67" s="6"/>
      <c r="G67" s="6">
        <v>0</v>
      </c>
      <c r="H67" s="6">
        <v>1</v>
      </c>
      <c r="I67" s="16" t="s">
        <v>1265</v>
      </c>
      <c r="J67" s="10">
        <v>1</v>
      </c>
      <c r="K67" s="13"/>
    </row>
    <row r="68" spans="1:11">
      <c r="A68" s="6">
        <v>67</v>
      </c>
      <c r="B68" s="18" t="s">
        <v>1266</v>
      </c>
      <c r="C68" s="8" t="s">
        <v>1267</v>
      </c>
      <c r="D68" s="6" t="s">
        <v>15</v>
      </c>
      <c r="E68" s="6" t="s">
        <v>52</v>
      </c>
      <c r="F68" s="6"/>
      <c r="G68" s="6">
        <v>0</v>
      </c>
      <c r="H68" s="6">
        <v>1</v>
      </c>
      <c r="I68" s="16" t="s">
        <v>1268</v>
      </c>
      <c r="J68" s="10">
        <v>1</v>
      </c>
      <c r="K68" s="14"/>
    </row>
    <row r="69" spans="1:11">
      <c r="A69" s="6">
        <v>68</v>
      </c>
      <c r="B69" s="7" t="s">
        <v>1269</v>
      </c>
      <c r="C69" s="8" t="s">
        <v>1270</v>
      </c>
      <c r="D69" s="6" t="s">
        <v>15</v>
      </c>
      <c r="E69" s="6" t="s">
        <v>52</v>
      </c>
      <c r="F69" s="6">
        <v>1</v>
      </c>
      <c r="G69" s="6" t="s">
        <v>1271</v>
      </c>
      <c r="H69" s="6">
        <v>1</v>
      </c>
      <c r="I69" s="16" t="s">
        <v>1167</v>
      </c>
      <c r="J69" s="10">
        <v>1</v>
      </c>
      <c r="K69" s="12" t="s">
        <v>1272</v>
      </c>
    </row>
    <row r="70" spans="1:11">
      <c r="A70" s="6">
        <v>69</v>
      </c>
      <c r="B70" s="7" t="s">
        <v>1273</v>
      </c>
      <c r="C70" s="8" t="s">
        <v>1274</v>
      </c>
      <c r="D70" s="6" t="s">
        <v>15</v>
      </c>
      <c r="E70" s="6" t="s">
        <v>52</v>
      </c>
      <c r="F70" s="6">
        <v>49.8</v>
      </c>
      <c r="G70" s="6" t="s">
        <v>1275</v>
      </c>
      <c r="H70" s="6">
        <v>0.01</v>
      </c>
      <c r="I70" s="16" t="s">
        <v>1276</v>
      </c>
      <c r="J70" s="10">
        <v>1</v>
      </c>
      <c r="K70" s="13"/>
    </row>
    <row r="71" spans="1:11">
      <c r="A71" s="6">
        <v>70</v>
      </c>
      <c r="B71" s="7" t="s">
        <v>1277</v>
      </c>
      <c r="C71" s="8" t="s">
        <v>1278</v>
      </c>
      <c r="D71" s="6" t="s">
        <v>15</v>
      </c>
      <c r="E71" s="6" t="s">
        <v>52</v>
      </c>
      <c r="F71" s="6">
        <v>49.8</v>
      </c>
      <c r="G71" s="6" t="s">
        <v>1279</v>
      </c>
      <c r="H71" s="6">
        <v>0.01</v>
      </c>
      <c r="I71" s="16" t="s">
        <v>1280</v>
      </c>
      <c r="J71" s="10">
        <v>1</v>
      </c>
      <c r="K71" s="13"/>
    </row>
    <row r="72" spans="1:11">
      <c r="A72" s="6">
        <v>71</v>
      </c>
      <c r="B72" s="7" t="s">
        <v>1281</v>
      </c>
      <c r="C72" s="8" t="s">
        <v>1282</v>
      </c>
      <c r="D72" s="6" t="s">
        <v>15</v>
      </c>
      <c r="E72" s="6" t="s">
        <v>52</v>
      </c>
      <c r="F72" s="6">
        <v>49.8</v>
      </c>
      <c r="G72" s="6" t="s">
        <v>1275</v>
      </c>
      <c r="H72" s="6">
        <v>0.01</v>
      </c>
      <c r="I72" s="16" t="s">
        <v>1283</v>
      </c>
      <c r="J72" s="10">
        <v>1</v>
      </c>
      <c r="K72" s="13"/>
    </row>
    <row r="73" spans="1:11">
      <c r="A73" s="6">
        <v>72</v>
      </c>
      <c r="B73" s="7" t="s">
        <v>1190</v>
      </c>
      <c r="C73" s="8" t="s">
        <v>1284</v>
      </c>
      <c r="D73" s="6" t="s">
        <v>15</v>
      </c>
      <c r="E73" s="6" t="s">
        <v>52</v>
      </c>
      <c r="F73" s="6">
        <v>49.8</v>
      </c>
      <c r="G73" s="6" t="s">
        <v>1275</v>
      </c>
      <c r="H73" s="6">
        <v>0.01</v>
      </c>
      <c r="I73" s="16" t="s">
        <v>1285</v>
      </c>
      <c r="J73" s="10">
        <v>1</v>
      </c>
      <c r="K73" s="13"/>
    </row>
    <row r="74" spans="1:11">
      <c r="A74" s="6">
        <v>73</v>
      </c>
      <c r="B74" s="7" t="s">
        <v>1239</v>
      </c>
      <c r="C74" s="8" t="s">
        <v>1286</v>
      </c>
      <c r="D74" s="6" t="s">
        <v>15</v>
      </c>
      <c r="E74" s="6" t="s">
        <v>52</v>
      </c>
      <c r="F74" s="6">
        <v>10</v>
      </c>
      <c r="G74" s="6" t="s">
        <v>260</v>
      </c>
      <c r="H74" s="6">
        <v>1</v>
      </c>
      <c r="I74" s="16" t="s">
        <v>1287</v>
      </c>
      <c r="J74" s="10">
        <v>1</v>
      </c>
      <c r="K74" s="13"/>
    </row>
    <row r="75" spans="1:11">
      <c r="A75" s="6">
        <v>74</v>
      </c>
      <c r="B75" s="7" t="s">
        <v>1245</v>
      </c>
      <c r="C75" s="8" t="s">
        <v>1288</v>
      </c>
      <c r="D75" s="6" t="s">
        <v>15</v>
      </c>
      <c r="E75" s="6" t="s">
        <v>52</v>
      </c>
      <c r="F75" s="6">
        <v>5</v>
      </c>
      <c r="G75" s="6" t="s">
        <v>260</v>
      </c>
      <c r="H75" s="6">
        <v>1</v>
      </c>
      <c r="I75" s="16" t="s">
        <v>1248</v>
      </c>
      <c r="J75" s="10">
        <v>1</v>
      </c>
      <c r="K75" s="13"/>
    </row>
    <row r="76" spans="1:11">
      <c r="A76" s="6">
        <v>75</v>
      </c>
      <c r="B76" s="7" t="s">
        <v>1289</v>
      </c>
      <c r="C76" s="8" t="s">
        <v>1290</v>
      </c>
      <c r="D76" s="6" t="s">
        <v>15</v>
      </c>
      <c r="E76" s="6" t="s">
        <v>52</v>
      </c>
      <c r="F76" s="6">
        <v>0</v>
      </c>
      <c r="G76" s="6" t="s">
        <v>1223</v>
      </c>
      <c r="H76" s="6">
        <v>10</v>
      </c>
      <c r="I76" s="16" t="s">
        <v>1291</v>
      </c>
      <c r="J76" s="10">
        <v>1</v>
      </c>
      <c r="K76" s="13"/>
    </row>
    <row r="77" spans="1:11">
      <c r="A77" s="6">
        <v>76</v>
      </c>
      <c r="B77" s="7" t="s">
        <v>1292</v>
      </c>
      <c r="C77" s="8" t="s">
        <v>1293</v>
      </c>
      <c r="D77" s="6" t="s">
        <v>15</v>
      </c>
      <c r="E77" s="6" t="s">
        <v>52</v>
      </c>
      <c r="F77" s="6">
        <v>0</v>
      </c>
      <c r="G77" s="6" t="s">
        <v>1223</v>
      </c>
      <c r="H77" s="6">
        <v>10</v>
      </c>
      <c r="I77" s="16" t="s">
        <v>1294</v>
      </c>
      <c r="J77" s="10">
        <v>1</v>
      </c>
      <c r="K77" s="14"/>
    </row>
    <row r="78" spans="1:11">
      <c r="A78" s="6">
        <v>77</v>
      </c>
      <c r="B78" s="7" t="s">
        <v>1295</v>
      </c>
      <c r="C78" s="8" t="s">
        <v>1296</v>
      </c>
      <c r="D78" s="6" t="s">
        <v>15</v>
      </c>
      <c r="E78" s="6" t="s">
        <v>52</v>
      </c>
      <c r="F78" s="8">
        <v>253</v>
      </c>
      <c r="G78" s="6" t="s">
        <v>1065</v>
      </c>
      <c r="H78" s="8">
        <v>0.1</v>
      </c>
      <c r="I78" s="7" t="s">
        <v>1297</v>
      </c>
      <c r="J78" s="10">
        <v>1</v>
      </c>
      <c r="K78" s="12" t="s">
        <v>1298</v>
      </c>
    </row>
    <row r="79" spans="1:11">
      <c r="A79" s="6">
        <v>78</v>
      </c>
      <c r="B79" s="7" t="s">
        <v>1299</v>
      </c>
      <c r="C79" s="8" t="s">
        <v>1300</v>
      </c>
      <c r="D79" s="6" t="s">
        <v>15</v>
      </c>
      <c r="E79" s="6" t="s">
        <v>52</v>
      </c>
      <c r="F79" s="8">
        <v>255.3</v>
      </c>
      <c r="G79" s="6" t="s">
        <v>1065</v>
      </c>
      <c r="H79" s="8">
        <v>0.1</v>
      </c>
      <c r="I79" s="9" t="s">
        <v>1301</v>
      </c>
      <c r="J79" s="10">
        <v>1</v>
      </c>
      <c r="K79" s="13"/>
    </row>
    <row r="80" spans="1:11">
      <c r="A80" s="6">
        <v>79</v>
      </c>
      <c r="B80" s="7" t="s">
        <v>1302</v>
      </c>
      <c r="C80" s="8" t="s">
        <v>1303</v>
      </c>
      <c r="D80" s="6" t="s">
        <v>15</v>
      </c>
      <c r="E80" s="6" t="s">
        <v>52</v>
      </c>
      <c r="F80" s="6">
        <v>257.6</v>
      </c>
      <c r="G80" s="6" t="s">
        <v>1065</v>
      </c>
      <c r="H80" s="6">
        <v>0.1</v>
      </c>
      <c r="I80" s="7" t="s">
        <v>1304</v>
      </c>
      <c r="J80" s="10">
        <v>1</v>
      </c>
      <c r="K80" s="13"/>
    </row>
    <row r="81" spans="1:12">
      <c r="A81" s="6">
        <v>80</v>
      </c>
      <c r="B81" s="7" t="s">
        <v>1305</v>
      </c>
      <c r="C81" s="8" t="s">
        <v>1306</v>
      </c>
      <c r="D81" s="6" t="s">
        <v>15</v>
      </c>
      <c r="E81" s="6" t="s">
        <v>52</v>
      </c>
      <c r="F81" s="6">
        <v>257.6</v>
      </c>
      <c r="G81" s="6" t="s">
        <v>1065</v>
      </c>
      <c r="H81" s="6">
        <v>0.1</v>
      </c>
      <c r="I81" s="7" t="s">
        <v>1307</v>
      </c>
      <c r="J81" s="10">
        <v>1</v>
      </c>
      <c r="K81" s="13"/>
    </row>
    <row r="82" spans="1:12">
      <c r="A82" s="6">
        <v>81</v>
      </c>
      <c r="B82" s="7" t="s">
        <v>1308</v>
      </c>
      <c r="C82" s="8" t="s">
        <v>1309</v>
      </c>
      <c r="D82" s="6" t="s">
        <v>15</v>
      </c>
      <c r="E82" s="6" t="s">
        <v>52</v>
      </c>
      <c r="F82" s="6">
        <v>100</v>
      </c>
      <c r="G82" s="6" t="s">
        <v>260</v>
      </c>
      <c r="H82" s="6">
        <v>1</v>
      </c>
      <c r="I82" s="7" t="s">
        <v>1310</v>
      </c>
      <c r="J82" s="10">
        <v>1</v>
      </c>
      <c r="K82" s="13"/>
    </row>
    <row r="83" spans="1:12">
      <c r="A83" s="6">
        <v>82</v>
      </c>
      <c r="B83" s="7" t="s">
        <v>1311</v>
      </c>
      <c r="C83" s="8" t="s">
        <v>1312</v>
      </c>
      <c r="D83" s="6" t="s">
        <v>15</v>
      </c>
      <c r="E83" s="6" t="s">
        <v>52</v>
      </c>
      <c r="F83" s="6">
        <v>50</v>
      </c>
      <c r="G83" s="6" t="s">
        <v>260</v>
      </c>
      <c r="H83" s="6">
        <v>1</v>
      </c>
      <c r="I83" s="7" t="s">
        <v>1313</v>
      </c>
      <c r="J83" s="10">
        <v>1</v>
      </c>
      <c r="K83" s="13"/>
    </row>
    <row r="84" spans="1:12">
      <c r="A84" s="6">
        <v>83</v>
      </c>
      <c r="B84" s="7" t="s">
        <v>1314</v>
      </c>
      <c r="C84" s="8" t="s">
        <v>1315</v>
      </c>
      <c r="D84" s="6" t="s">
        <v>15</v>
      </c>
      <c r="E84" s="6" t="s">
        <v>52</v>
      </c>
      <c r="F84" s="6">
        <v>0</v>
      </c>
      <c r="G84" s="6" t="s">
        <v>260</v>
      </c>
      <c r="H84" s="6">
        <v>1</v>
      </c>
      <c r="I84" s="7" t="s">
        <v>1316</v>
      </c>
      <c r="J84" s="10">
        <v>1</v>
      </c>
      <c r="K84" s="13"/>
    </row>
    <row r="85" spans="1:12">
      <c r="A85" s="6">
        <v>84</v>
      </c>
      <c r="B85" s="7" t="s">
        <v>1317</v>
      </c>
      <c r="C85" s="8" t="s">
        <v>1318</v>
      </c>
      <c r="D85" s="6" t="s">
        <v>15</v>
      </c>
      <c r="E85" s="6" t="s">
        <v>52</v>
      </c>
      <c r="F85" s="6">
        <v>0</v>
      </c>
      <c r="G85" s="6" t="s">
        <v>260</v>
      </c>
      <c r="H85" s="6">
        <v>1</v>
      </c>
      <c r="I85" s="7" t="s">
        <v>1319</v>
      </c>
      <c r="J85" s="10">
        <v>1</v>
      </c>
      <c r="K85" s="13"/>
    </row>
    <row r="86" spans="1:12">
      <c r="A86" s="6">
        <v>85</v>
      </c>
      <c r="B86" s="7" t="s">
        <v>1320</v>
      </c>
      <c r="C86" s="8" t="s">
        <v>1321</v>
      </c>
      <c r="D86" s="6" t="s">
        <v>15</v>
      </c>
      <c r="E86" s="6" t="s">
        <v>52</v>
      </c>
      <c r="F86" s="6">
        <v>0.01</v>
      </c>
      <c r="G86" s="6" t="s">
        <v>260</v>
      </c>
      <c r="H86" s="6">
        <v>0.01</v>
      </c>
      <c r="I86" s="7" t="s">
        <v>1322</v>
      </c>
      <c r="J86" s="10">
        <v>1</v>
      </c>
      <c r="K86" s="13"/>
    </row>
    <row r="87" spans="1:12">
      <c r="A87" s="6">
        <v>86</v>
      </c>
      <c r="B87" s="7" t="s">
        <v>1323</v>
      </c>
      <c r="C87" s="8" t="s">
        <v>1324</v>
      </c>
      <c r="D87" s="6" t="s">
        <v>15</v>
      </c>
      <c r="E87" s="6" t="s">
        <v>84</v>
      </c>
      <c r="F87" s="6">
        <v>10</v>
      </c>
      <c r="G87" s="6" t="s">
        <v>1325</v>
      </c>
      <c r="H87" s="6">
        <v>1</v>
      </c>
      <c r="I87" s="7" t="s">
        <v>1326</v>
      </c>
      <c r="J87" s="10">
        <v>1</v>
      </c>
      <c r="K87" s="13"/>
    </row>
    <row r="88" spans="1:12">
      <c r="A88" s="6">
        <v>87</v>
      </c>
      <c r="B88" s="7" t="s">
        <v>1327</v>
      </c>
      <c r="C88" s="8" t="s">
        <v>1328</v>
      </c>
      <c r="D88" s="6" t="s">
        <v>15</v>
      </c>
      <c r="E88" s="6" t="s">
        <v>52</v>
      </c>
      <c r="F88" s="6">
        <v>1</v>
      </c>
      <c r="G88" s="6" t="s">
        <v>1271</v>
      </c>
      <c r="H88" s="6">
        <v>1</v>
      </c>
      <c r="I88" s="7" t="s">
        <v>1329</v>
      </c>
      <c r="J88" s="10">
        <v>1</v>
      </c>
      <c r="K88" s="13"/>
    </row>
    <row r="89" spans="1:12">
      <c r="A89" s="6">
        <v>88</v>
      </c>
      <c r="B89" s="7" t="s">
        <v>1330</v>
      </c>
      <c r="C89" s="8" t="s">
        <v>1331</v>
      </c>
      <c r="D89" s="6" t="s">
        <v>15</v>
      </c>
      <c r="E89" s="6" t="s">
        <v>52</v>
      </c>
      <c r="F89" s="6">
        <v>0</v>
      </c>
      <c r="G89" s="6" t="s">
        <v>1271</v>
      </c>
      <c r="H89" s="6">
        <v>1</v>
      </c>
      <c r="I89" s="7" t="s">
        <v>1332</v>
      </c>
      <c r="J89" s="10">
        <v>1</v>
      </c>
      <c r="K89" s="13"/>
    </row>
    <row r="90" spans="1:12">
      <c r="A90" s="8">
        <v>89</v>
      </c>
      <c r="B90" s="7" t="s">
        <v>1333</v>
      </c>
      <c r="C90" s="8" t="s">
        <v>1334</v>
      </c>
      <c r="D90" s="6" t="s">
        <v>15</v>
      </c>
      <c r="E90" s="6" t="s">
        <v>52</v>
      </c>
      <c r="F90" s="6">
        <v>1</v>
      </c>
      <c r="G90" s="6" t="s">
        <v>100</v>
      </c>
      <c r="H90" s="6">
        <v>1</v>
      </c>
      <c r="I90" s="7" t="s">
        <v>1335</v>
      </c>
      <c r="J90" s="10">
        <v>1</v>
      </c>
      <c r="K90" s="13"/>
    </row>
    <row r="91" spans="1:12">
      <c r="A91" s="8">
        <v>90</v>
      </c>
      <c r="B91" s="7" t="s">
        <v>1336</v>
      </c>
      <c r="C91" s="8" t="s">
        <v>1337</v>
      </c>
      <c r="D91" s="6" t="s">
        <v>15</v>
      </c>
      <c r="E91" s="6" t="s">
        <v>52</v>
      </c>
      <c r="F91" s="6">
        <v>10</v>
      </c>
      <c r="G91" s="6" t="s">
        <v>1338</v>
      </c>
      <c r="H91" s="6">
        <v>1</v>
      </c>
      <c r="I91" s="7" t="s">
        <v>1339</v>
      </c>
      <c r="J91" s="10">
        <v>1</v>
      </c>
      <c r="K91" s="14"/>
    </row>
    <row r="92" ht="84" spans="1:12">
      <c r="A92" s="8">
        <v>91</v>
      </c>
      <c r="B92" s="18" t="s">
        <v>1340</v>
      </c>
      <c r="C92" s="8" t="s">
        <v>1341</v>
      </c>
      <c r="D92" s="6" t="s">
        <v>15</v>
      </c>
      <c r="E92" s="6" t="s">
        <v>52</v>
      </c>
      <c r="F92" s="6">
        <v>0</v>
      </c>
      <c r="G92" s="6" t="s">
        <v>62</v>
      </c>
      <c r="H92" s="6">
        <v>1</v>
      </c>
      <c r="I92" s="16" t="s">
        <v>1342</v>
      </c>
      <c r="J92" s="10">
        <v>1</v>
      </c>
      <c r="K92" s="12" t="s">
        <v>1343</v>
      </c>
      <c r="L92" s="19" t="s">
        <v>1344</v>
      </c>
    </row>
    <row r="93" spans="1:12">
      <c r="A93" s="8">
        <v>92</v>
      </c>
      <c r="B93" s="18" t="s">
        <v>1345</v>
      </c>
      <c r="C93" s="8" t="s">
        <v>1346</v>
      </c>
      <c r="D93" s="6" t="s">
        <v>15</v>
      </c>
      <c r="E93" s="6" t="s">
        <v>52</v>
      </c>
      <c r="F93" s="6">
        <v>100</v>
      </c>
      <c r="G93" s="6" t="s">
        <v>1347</v>
      </c>
      <c r="H93" s="6">
        <v>1</v>
      </c>
      <c r="I93" s="16" t="s">
        <v>1348</v>
      </c>
      <c r="J93" s="10">
        <v>1</v>
      </c>
      <c r="K93" s="13"/>
    </row>
    <row r="94" spans="1:12">
      <c r="A94" s="8">
        <v>93</v>
      </c>
      <c r="B94" s="18" t="s">
        <v>1349</v>
      </c>
      <c r="C94" s="8" t="s">
        <v>1350</v>
      </c>
      <c r="D94" s="6" t="s">
        <v>15</v>
      </c>
      <c r="E94" s="6" t="s">
        <v>84</v>
      </c>
      <c r="F94" s="6">
        <v>0</v>
      </c>
      <c r="G94" s="6" t="s">
        <v>1351</v>
      </c>
      <c r="H94" s="6">
        <v>0.1</v>
      </c>
      <c r="I94" s="16" t="s">
        <v>1352</v>
      </c>
      <c r="J94" s="10">
        <v>1</v>
      </c>
      <c r="K94" s="13"/>
    </row>
    <row r="95" spans="1:12">
      <c r="A95" s="8">
        <v>94</v>
      </c>
      <c r="B95" s="18" t="s">
        <v>1353</v>
      </c>
      <c r="C95" s="8" t="s">
        <v>1354</v>
      </c>
      <c r="D95" s="6" t="s">
        <v>15</v>
      </c>
      <c r="E95" s="6" t="s">
        <v>52</v>
      </c>
      <c r="F95" s="6">
        <v>1</v>
      </c>
      <c r="G95" s="6" t="s">
        <v>100</v>
      </c>
      <c r="H95" s="6">
        <v>0.1</v>
      </c>
      <c r="I95" s="16" t="s">
        <v>1355</v>
      </c>
      <c r="J95" s="10">
        <v>1</v>
      </c>
      <c r="K95" s="13"/>
    </row>
    <row r="96" spans="1:12">
      <c r="A96" s="8">
        <v>95</v>
      </c>
      <c r="B96" s="18" t="s">
        <v>1356</v>
      </c>
      <c r="C96" s="8" t="s">
        <v>1357</v>
      </c>
      <c r="D96" s="6" t="s">
        <v>15</v>
      </c>
      <c r="E96" s="6" t="s">
        <v>52</v>
      </c>
      <c r="F96" s="6">
        <v>0.9</v>
      </c>
      <c r="G96" s="6" t="s">
        <v>100</v>
      </c>
      <c r="H96" s="6">
        <v>0.1</v>
      </c>
      <c r="I96" s="16" t="s">
        <v>1358</v>
      </c>
      <c r="J96" s="10">
        <v>1</v>
      </c>
      <c r="K96" s="13"/>
    </row>
    <row r="97" spans="1:11">
      <c r="A97" s="8">
        <v>96</v>
      </c>
      <c r="B97" s="18" t="s">
        <v>1359</v>
      </c>
      <c r="C97" s="8" t="s">
        <v>1360</v>
      </c>
      <c r="D97" s="6" t="s">
        <v>15</v>
      </c>
      <c r="E97" s="6" t="s">
        <v>52</v>
      </c>
      <c r="F97" s="6">
        <v>0</v>
      </c>
      <c r="G97" s="6" t="s">
        <v>100</v>
      </c>
      <c r="H97" s="6">
        <v>0.1</v>
      </c>
      <c r="I97" s="16" t="s">
        <v>1361</v>
      </c>
      <c r="J97" s="10">
        <v>1</v>
      </c>
      <c r="K97" s="13"/>
    </row>
    <row r="98" spans="1:11">
      <c r="A98" s="8">
        <v>97</v>
      </c>
      <c r="B98" s="18" t="s">
        <v>1362</v>
      </c>
      <c r="C98" s="8" t="s">
        <v>1363</v>
      </c>
      <c r="D98" s="6" t="s">
        <v>15</v>
      </c>
      <c r="E98" s="6" t="s">
        <v>52</v>
      </c>
      <c r="F98" s="6">
        <v>50</v>
      </c>
      <c r="G98" s="6" t="s">
        <v>1364</v>
      </c>
      <c r="H98" s="6">
        <v>1</v>
      </c>
      <c r="I98" s="16" t="s">
        <v>1365</v>
      </c>
      <c r="J98" s="10">
        <v>1</v>
      </c>
      <c r="K98" s="13"/>
    </row>
    <row r="99" spans="1:11">
      <c r="A99" s="8">
        <v>98</v>
      </c>
      <c r="B99" s="18" t="s">
        <v>1366</v>
      </c>
      <c r="C99" s="8" t="s">
        <v>1367</v>
      </c>
      <c r="D99" s="6" t="s">
        <v>15</v>
      </c>
      <c r="E99" s="6" t="s">
        <v>52</v>
      </c>
      <c r="F99" s="6">
        <v>0.436</v>
      </c>
      <c r="G99" s="6" t="s">
        <v>100</v>
      </c>
      <c r="H99" s="6">
        <v>0.001</v>
      </c>
      <c r="I99" s="16" t="s">
        <v>1368</v>
      </c>
      <c r="J99" s="10">
        <v>1</v>
      </c>
      <c r="K99" s="13"/>
    </row>
    <row r="100" spans="1:11">
      <c r="A100" s="8">
        <v>99</v>
      </c>
      <c r="B100" s="18" t="s">
        <v>1369</v>
      </c>
      <c r="C100" s="8" t="s">
        <v>1370</v>
      </c>
      <c r="D100" s="6" t="s">
        <v>15</v>
      </c>
      <c r="E100" s="6" t="s">
        <v>52</v>
      </c>
      <c r="F100" s="6">
        <v>0.436</v>
      </c>
      <c r="G100" s="6" t="s">
        <v>100</v>
      </c>
      <c r="H100" s="6">
        <v>0.001</v>
      </c>
      <c r="I100" s="16" t="s">
        <v>1371</v>
      </c>
      <c r="J100" s="10">
        <v>1</v>
      </c>
      <c r="K100" s="13"/>
    </row>
    <row r="101" spans="1:11">
      <c r="A101" s="8">
        <v>100</v>
      </c>
      <c r="B101" s="18" t="s">
        <v>1372</v>
      </c>
      <c r="C101" s="8" t="s">
        <v>1373</v>
      </c>
      <c r="D101" s="6" t="s">
        <v>15</v>
      </c>
      <c r="E101" s="6" t="s">
        <v>52</v>
      </c>
      <c r="F101" s="6">
        <v>50</v>
      </c>
      <c r="G101" s="6" t="s">
        <v>260</v>
      </c>
      <c r="H101" s="6">
        <v>1</v>
      </c>
      <c r="I101" s="16" t="s">
        <v>1374</v>
      </c>
      <c r="J101" s="10">
        <v>1</v>
      </c>
      <c r="K101" s="13"/>
    </row>
    <row r="102" spans="1:11">
      <c r="A102" s="8">
        <v>101</v>
      </c>
      <c r="B102" s="18" t="s">
        <v>1375</v>
      </c>
      <c r="C102" s="8" t="s">
        <v>1376</v>
      </c>
      <c r="D102" s="6" t="s">
        <v>15</v>
      </c>
      <c r="E102" s="6" t="s">
        <v>52</v>
      </c>
      <c r="F102" s="6">
        <v>100</v>
      </c>
      <c r="G102" s="6" t="s">
        <v>260</v>
      </c>
      <c r="H102" s="6">
        <v>1</v>
      </c>
      <c r="I102" s="16" t="s">
        <v>1377</v>
      </c>
      <c r="J102" s="10">
        <v>1</v>
      </c>
      <c r="K102" s="13"/>
    </row>
    <row r="103" spans="1:11">
      <c r="A103" s="8">
        <v>102</v>
      </c>
      <c r="B103" s="18" t="s">
        <v>1378</v>
      </c>
      <c r="C103" s="8" t="s">
        <v>1379</v>
      </c>
      <c r="D103" s="6" t="s">
        <v>15</v>
      </c>
      <c r="E103" s="6" t="s">
        <v>52</v>
      </c>
      <c r="F103" s="6">
        <v>1</v>
      </c>
      <c r="G103" s="6" t="s">
        <v>100</v>
      </c>
      <c r="H103" s="6">
        <v>1</v>
      </c>
      <c r="I103" s="16" t="s">
        <v>1380</v>
      </c>
      <c r="J103" s="10">
        <v>1</v>
      </c>
      <c r="K103" s="13"/>
    </row>
    <row r="104" spans="1:11">
      <c r="A104" s="8">
        <v>103</v>
      </c>
      <c r="B104" s="18" t="s">
        <v>1381</v>
      </c>
      <c r="C104" s="8" t="s">
        <v>1382</v>
      </c>
      <c r="D104" s="6" t="s">
        <v>15</v>
      </c>
      <c r="E104" s="6" t="s">
        <v>52</v>
      </c>
      <c r="F104" s="6">
        <v>9</v>
      </c>
      <c r="G104" s="6">
        <v>180</v>
      </c>
      <c r="H104" s="6">
        <v>1</v>
      </c>
      <c r="I104" s="16" t="s">
        <v>1383</v>
      </c>
      <c r="J104" s="10">
        <v>1</v>
      </c>
      <c r="K104" s="13"/>
    </row>
    <row r="105" spans="1:11">
      <c r="A105" s="8">
        <v>104</v>
      </c>
      <c r="B105" s="18" t="s">
        <v>1384</v>
      </c>
      <c r="C105" s="8" t="s">
        <v>1385</v>
      </c>
      <c r="D105" s="6" t="s">
        <v>15</v>
      </c>
      <c r="E105" s="6" t="s">
        <v>52</v>
      </c>
      <c r="F105" s="6">
        <v>9</v>
      </c>
      <c r="G105" s="6">
        <v>180</v>
      </c>
      <c r="H105" s="6">
        <v>1</v>
      </c>
      <c r="I105" s="7" t="s">
        <v>1386</v>
      </c>
      <c r="J105" s="10">
        <v>1</v>
      </c>
      <c r="K105" s="14"/>
    </row>
    <row r="106" spans="1:11">
      <c r="A106" s="8">
        <v>105</v>
      </c>
      <c r="B106" s="7" t="s">
        <v>1387</v>
      </c>
      <c r="C106" s="8" t="s">
        <v>1388</v>
      </c>
      <c r="D106" s="6" t="s">
        <v>15</v>
      </c>
      <c r="E106" s="6" t="s">
        <v>52</v>
      </c>
      <c r="F106" s="6">
        <v>105</v>
      </c>
      <c r="G106" s="6" t="s">
        <v>1389</v>
      </c>
      <c r="H106" s="6">
        <v>1</v>
      </c>
      <c r="I106" s="7" t="s">
        <v>1390</v>
      </c>
      <c r="J106" s="10">
        <v>1</v>
      </c>
      <c r="K106" s="12" t="s">
        <v>1391</v>
      </c>
    </row>
    <row r="107" spans="1:11">
      <c r="A107" s="8">
        <v>106</v>
      </c>
      <c r="B107" s="7" t="s">
        <v>1392</v>
      </c>
      <c r="C107" s="8" t="s">
        <v>1393</v>
      </c>
      <c r="D107" s="6" t="s">
        <v>15</v>
      </c>
      <c r="E107" s="6" t="s">
        <v>52</v>
      </c>
      <c r="F107" s="6">
        <v>100</v>
      </c>
      <c r="G107" s="6" t="s">
        <v>1394</v>
      </c>
      <c r="H107" s="6">
        <v>1</v>
      </c>
      <c r="I107" s="7" t="s">
        <v>1395</v>
      </c>
      <c r="J107" s="10">
        <v>1</v>
      </c>
      <c r="K107" s="13"/>
    </row>
    <row r="108" spans="1:11">
      <c r="A108" s="8">
        <v>107</v>
      </c>
      <c r="B108" s="7" t="s">
        <v>1396</v>
      </c>
      <c r="C108" s="8" t="s">
        <v>1397</v>
      </c>
      <c r="D108" s="6" t="s">
        <v>15</v>
      </c>
      <c r="E108" s="6" t="s">
        <v>52</v>
      </c>
      <c r="F108" s="6">
        <v>50</v>
      </c>
      <c r="G108" s="6" t="s">
        <v>260</v>
      </c>
      <c r="H108" s="6">
        <v>1</v>
      </c>
      <c r="I108" s="7" t="s">
        <v>1398</v>
      </c>
      <c r="J108" s="10">
        <v>1</v>
      </c>
      <c r="K108" s="13"/>
    </row>
    <row r="109" spans="1:11">
      <c r="A109" s="8">
        <v>108</v>
      </c>
      <c r="B109" s="7" t="s">
        <v>1399</v>
      </c>
      <c r="C109" s="8" t="s">
        <v>1400</v>
      </c>
      <c r="D109" s="6" t="s">
        <v>15</v>
      </c>
      <c r="E109" s="6" t="s">
        <v>52</v>
      </c>
      <c r="F109" s="6">
        <v>100</v>
      </c>
      <c r="G109" s="6" t="s">
        <v>260</v>
      </c>
      <c r="H109" s="6">
        <v>1</v>
      </c>
      <c r="I109" s="7" t="s">
        <v>1401</v>
      </c>
      <c r="J109" s="10">
        <v>1</v>
      </c>
      <c r="K109" s="13"/>
    </row>
    <row r="110" spans="1:11">
      <c r="A110" s="8">
        <v>109</v>
      </c>
      <c r="B110" s="7" t="s">
        <v>1402</v>
      </c>
      <c r="C110" s="8" t="s">
        <v>1403</v>
      </c>
      <c r="D110" s="6" t="s">
        <v>15</v>
      </c>
      <c r="E110" s="6" t="s">
        <v>52</v>
      </c>
      <c r="F110" s="6">
        <v>20</v>
      </c>
      <c r="G110" s="6" t="s">
        <v>260</v>
      </c>
      <c r="H110" s="6">
        <v>1</v>
      </c>
      <c r="I110" s="7" t="s">
        <v>1404</v>
      </c>
      <c r="J110" s="10">
        <v>1</v>
      </c>
      <c r="K110" s="13"/>
    </row>
    <row r="111" spans="1:11">
      <c r="A111" s="8">
        <v>110</v>
      </c>
      <c r="B111" s="7" t="s">
        <v>1405</v>
      </c>
      <c r="C111" s="8" t="s">
        <v>1406</v>
      </c>
      <c r="D111" s="6" t="s">
        <v>15</v>
      </c>
      <c r="E111" s="6" t="s">
        <v>52</v>
      </c>
      <c r="F111" s="6">
        <v>40</v>
      </c>
      <c r="G111" s="6" t="s">
        <v>260</v>
      </c>
      <c r="H111" s="6">
        <v>1</v>
      </c>
      <c r="I111" s="7" t="s">
        <v>1407</v>
      </c>
      <c r="J111" s="10">
        <v>1</v>
      </c>
      <c r="K111" s="13"/>
    </row>
    <row r="112" spans="1:11">
      <c r="A112" s="8">
        <v>111</v>
      </c>
      <c r="B112" s="7" t="s">
        <v>1408</v>
      </c>
      <c r="C112" s="8" t="s">
        <v>1409</v>
      </c>
      <c r="D112" s="6" t="s">
        <v>15</v>
      </c>
      <c r="E112" s="6" t="s">
        <v>52</v>
      </c>
      <c r="F112" s="6">
        <v>60</v>
      </c>
      <c r="G112" s="6" t="s">
        <v>260</v>
      </c>
      <c r="H112" s="6">
        <v>1</v>
      </c>
      <c r="I112" s="7" t="s">
        <v>1410</v>
      </c>
      <c r="J112" s="10">
        <v>1</v>
      </c>
      <c r="K112" s="13"/>
    </row>
    <row r="113" spans="1:11">
      <c r="A113" s="8">
        <v>112</v>
      </c>
      <c r="B113" s="7" t="s">
        <v>1411</v>
      </c>
      <c r="C113" s="8" t="s">
        <v>1412</v>
      </c>
      <c r="D113" s="6" t="s">
        <v>15</v>
      </c>
      <c r="E113" s="6" t="s">
        <v>52</v>
      </c>
      <c r="F113" s="6">
        <v>100</v>
      </c>
      <c r="G113" s="6" t="s">
        <v>260</v>
      </c>
      <c r="H113" s="6">
        <v>1</v>
      </c>
      <c r="I113" s="7" t="s">
        <v>1413</v>
      </c>
      <c r="J113" s="10">
        <v>1</v>
      </c>
      <c r="K113" s="13"/>
    </row>
    <row r="114" spans="1:11">
      <c r="A114" s="8">
        <v>113</v>
      </c>
      <c r="B114" s="7" t="s">
        <v>1414</v>
      </c>
      <c r="C114" s="8" t="s">
        <v>1415</v>
      </c>
      <c r="D114" s="6" t="s">
        <v>15</v>
      </c>
      <c r="E114" s="6" t="s">
        <v>52</v>
      </c>
      <c r="F114" s="6">
        <v>0.9</v>
      </c>
      <c r="G114" s="6" t="s">
        <v>1416</v>
      </c>
      <c r="H114" s="6">
        <v>0.01</v>
      </c>
      <c r="I114" s="7" t="s">
        <v>1417</v>
      </c>
      <c r="J114" s="10">
        <v>1</v>
      </c>
      <c r="K114" s="13"/>
    </row>
    <row r="115" spans="1:11">
      <c r="A115" s="8">
        <v>114</v>
      </c>
      <c r="B115" s="7" t="s">
        <v>1418</v>
      </c>
      <c r="C115" s="8" t="s">
        <v>1419</v>
      </c>
      <c r="D115" s="6" t="s">
        <v>15</v>
      </c>
      <c r="E115" s="6" t="s">
        <v>52</v>
      </c>
      <c r="F115" s="6">
        <v>0.98</v>
      </c>
      <c r="G115" s="6" t="s">
        <v>1416</v>
      </c>
      <c r="H115" s="6">
        <v>0.01</v>
      </c>
      <c r="I115" s="7" t="s">
        <v>1420</v>
      </c>
      <c r="J115" s="10">
        <v>1</v>
      </c>
      <c r="K115" s="13"/>
    </row>
    <row r="116" spans="1:11">
      <c r="A116" s="8">
        <v>115</v>
      </c>
      <c r="B116" s="7" t="s">
        <v>1421</v>
      </c>
      <c r="C116" s="8" t="s">
        <v>1422</v>
      </c>
      <c r="D116" s="6" t="s">
        <v>15</v>
      </c>
      <c r="E116" s="6" t="s">
        <v>52</v>
      </c>
      <c r="F116" s="6">
        <v>0.98</v>
      </c>
      <c r="G116" s="6" t="s">
        <v>1416</v>
      </c>
      <c r="H116" s="6">
        <v>0.01</v>
      </c>
      <c r="I116" s="7" t="s">
        <v>1423</v>
      </c>
      <c r="J116" s="10">
        <v>1</v>
      </c>
      <c r="K116" s="13"/>
    </row>
    <row r="117" spans="1:11">
      <c r="A117" s="8">
        <v>116</v>
      </c>
      <c r="B117" s="7" t="s">
        <v>1424</v>
      </c>
      <c r="C117" s="8" t="s">
        <v>1425</v>
      </c>
      <c r="D117" s="6" t="s">
        <v>15</v>
      </c>
      <c r="E117" s="6" t="s">
        <v>52</v>
      </c>
      <c r="F117" s="6">
        <v>0.9</v>
      </c>
      <c r="G117" s="6" t="s">
        <v>1416</v>
      </c>
      <c r="H117" s="6">
        <v>0.01</v>
      </c>
      <c r="I117" s="7" t="s">
        <v>1426</v>
      </c>
      <c r="J117" s="10">
        <v>1</v>
      </c>
      <c r="K117" s="13"/>
    </row>
    <row r="118" spans="1:11">
      <c r="A118" s="8">
        <v>117</v>
      </c>
      <c r="B118" s="7" t="s">
        <v>1427</v>
      </c>
      <c r="C118" s="8" t="s">
        <v>1428</v>
      </c>
      <c r="D118" s="6" t="s">
        <v>15</v>
      </c>
      <c r="E118" s="6" t="s">
        <v>52</v>
      </c>
      <c r="F118" s="6">
        <v>4</v>
      </c>
      <c r="G118" s="6" t="s">
        <v>62</v>
      </c>
      <c r="H118" s="6">
        <v>1</v>
      </c>
      <c r="I118" s="7" t="s">
        <v>1429</v>
      </c>
      <c r="J118" s="10">
        <v>1</v>
      </c>
      <c r="K118" s="14"/>
    </row>
    <row r="119" spans="1:11">
      <c r="A119" s="8">
        <v>118</v>
      </c>
      <c r="B119" s="11" t="s">
        <v>1430</v>
      </c>
      <c r="C119" s="8" t="s">
        <v>1431</v>
      </c>
      <c r="D119" s="6" t="s">
        <v>15</v>
      </c>
      <c r="E119" s="6" t="s">
        <v>52</v>
      </c>
      <c r="F119" s="6">
        <v>4</v>
      </c>
      <c r="G119" s="6" t="s">
        <v>62</v>
      </c>
      <c r="H119" s="6">
        <v>1</v>
      </c>
      <c r="I119" s="7" t="s">
        <v>1429</v>
      </c>
      <c r="J119" s="10">
        <v>1</v>
      </c>
      <c r="K119" s="12" t="s">
        <v>1432</v>
      </c>
    </row>
    <row r="120" spans="1:11">
      <c r="A120" s="8">
        <v>119</v>
      </c>
      <c r="B120" s="11" t="s">
        <v>1433</v>
      </c>
      <c r="C120" s="8" t="s">
        <v>1434</v>
      </c>
      <c r="D120" s="6" t="s">
        <v>15</v>
      </c>
      <c r="E120" s="6" t="s">
        <v>52</v>
      </c>
      <c r="F120" s="6">
        <v>213.9</v>
      </c>
      <c r="G120" s="6" t="s">
        <v>1435</v>
      </c>
      <c r="H120" s="6">
        <v>0.1</v>
      </c>
      <c r="I120" s="7" t="s">
        <v>1436</v>
      </c>
      <c r="J120" s="10">
        <v>1</v>
      </c>
      <c r="K120" s="13"/>
    </row>
    <row r="121" spans="1:11">
      <c r="A121" s="8">
        <v>120</v>
      </c>
      <c r="B121" s="11" t="s">
        <v>1437</v>
      </c>
      <c r="C121" s="8" t="s">
        <v>1438</v>
      </c>
      <c r="D121" s="6" t="s">
        <v>15</v>
      </c>
      <c r="E121" s="6" t="s">
        <v>52</v>
      </c>
      <c r="F121" s="6">
        <v>223.1</v>
      </c>
      <c r="G121" s="6" t="s">
        <v>1435</v>
      </c>
      <c r="H121" s="6">
        <v>0.1</v>
      </c>
      <c r="I121" s="7" t="s">
        <v>1439</v>
      </c>
      <c r="J121" s="10">
        <v>1</v>
      </c>
      <c r="K121" s="13"/>
    </row>
    <row r="122" spans="1:11">
      <c r="A122" s="8">
        <v>121</v>
      </c>
      <c r="B122" s="11" t="s">
        <v>1440</v>
      </c>
      <c r="C122" s="8" t="s">
        <v>1441</v>
      </c>
      <c r="D122" s="6" t="s">
        <v>15</v>
      </c>
      <c r="E122" s="6" t="s">
        <v>52</v>
      </c>
      <c r="F122" s="6">
        <v>236.9</v>
      </c>
      <c r="G122" s="6" t="s">
        <v>1442</v>
      </c>
      <c r="H122" s="6">
        <v>0.1</v>
      </c>
      <c r="I122" s="7" t="s">
        <v>1304</v>
      </c>
      <c r="J122" s="10">
        <v>1</v>
      </c>
      <c r="K122" s="13"/>
    </row>
    <row r="123" spans="1:11">
      <c r="A123" s="8">
        <v>122</v>
      </c>
      <c r="B123" s="11" t="s">
        <v>1443</v>
      </c>
      <c r="C123" s="8" t="s">
        <v>1444</v>
      </c>
      <c r="D123" s="6" t="s">
        <v>15</v>
      </c>
      <c r="E123" s="6" t="s">
        <v>52</v>
      </c>
      <c r="F123" s="6">
        <v>246.1</v>
      </c>
      <c r="G123" s="6" t="s">
        <v>1442</v>
      </c>
      <c r="H123" s="6">
        <v>0.1</v>
      </c>
      <c r="I123" s="7" t="s">
        <v>1307</v>
      </c>
      <c r="J123" s="10">
        <v>1</v>
      </c>
      <c r="K123" s="13"/>
    </row>
    <row r="124" spans="1:11">
      <c r="A124" s="8">
        <v>123</v>
      </c>
      <c r="B124" s="11" t="s">
        <v>1445</v>
      </c>
      <c r="C124" s="8" t="s">
        <v>1446</v>
      </c>
      <c r="D124" s="6" t="s">
        <v>15</v>
      </c>
      <c r="E124" s="6" t="s">
        <v>52</v>
      </c>
      <c r="F124" s="8">
        <v>108</v>
      </c>
      <c r="G124" s="6" t="s">
        <v>1447</v>
      </c>
      <c r="H124" s="8">
        <v>1</v>
      </c>
      <c r="I124" s="7" t="s">
        <v>1448</v>
      </c>
      <c r="J124" s="10">
        <v>1</v>
      </c>
      <c r="K124" s="13"/>
    </row>
    <row r="125" spans="1:11">
      <c r="A125" s="8">
        <v>124</v>
      </c>
      <c r="B125" s="11" t="s">
        <v>1449</v>
      </c>
      <c r="C125" s="8" t="s">
        <v>1450</v>
      </c>
      <c r="D125" s="6" t="s">
        <v>15</v>
      </c>
      <c r="E125" s="6" t="s">
        <v>52</v>
      </c>
      <c r="F125" s="8">
        <v>92</v>
      </c>
      <c r="G125" s="6" t="s">
        <v>1451</v>
      </c>
      <c r="H125" s="8">
        <v>1</v>
      </c>
      <c r="I125" s="7" t="s">
        <v>1452</v>
      </c>
      <c r="J125" s="10">
        <v>1</v>
      </c>
      <c r="K125" s="13"/>
    </row>
    <row r="126" spans="1:11">
      <c r="A126" s="8">
        <v>125</v>
      </c>
      <c r="B126" s="11" t="s">
        <v>1453</v>
      </c>
      <c r="C126" s="8" t="s">
        <v>1454</v>
      </c>
      <c r="D126" s="6" t="s">
        <v>15</v>
      </c>
      <c r="E126" s="6" t="s">
        <v>52</v>
      </c>
      <c r="F126" s="6">
        <v>43.6</v>
      </c>
      <c r="G126" s="6" t="s">
        <v>1455</v>
      </c>
      <c r="H126" s="6">
        <v>0.1</v>
      </c>
      <c r="I126" s="7" t="s">
        <v>1456</v>
      </c>
      <c r="J126" s="10">
        <v>1</v>
      </c>
      <c r="K126" s="13"/>
    </row>
    <row r="127" spans="1:11">
      <c r="A127" s="8">
        <v>126</v>
      </c>
      <c r="B127" s="11" t="s">
        <v>1457</v>
      </c>
      <c r="C127" s="8" t="s">
        <v>1458</v>
      </c>
      <c r="D127" s="6" t="s">
        <v>15</v>
      </c>
      <c r="E127" s="6" t="s">
        <v>52</v>
      </c>
      <c r="F127" s="6">
        <v>0</v>
      </c>
      <c r="G127" s="6" t="s">
        <v>1455</v>
      </c>
      <c r="H127" s="6">
        <v>0.1</v>
      </c>
      <c r="I127" s="7" t="s">
        <v>1459</v>
      </c>
      <c r="J127" s="10">
        <v>1</v>
      </c>
      <c r="K127" s="13"/>
    </row>
    <row r="128" spans="1:11">
      <c r="A128" s="8">
        <v>127</v>
      </c>
      <c r="B128" s="11" t="s">
        <v>1460</v>
      </c>
      <c r="C128" s="8" t="s">
        <v>1461</v>
      </c>
      <c r="D128" s="6" t="s">
        <v>15</v>
      </c>
      <c r="E128" s="6" t="s">
        <v>52</v>
      </c>
      <c r="F128" s="6">
        <v>0</v>
      </c>
      <c r="G128" s="6" t="s">
        <v>1455</v>
      </c>
      <c r="H128" s="6">
        <v>0.1</v>
      </c>
      <c r="I128" s="7" t="s">
        <v>1462</v>
      </c>
      <c r="J128" s="10">
        <v>1</v>
      </c>
      <c r="K128" s="13"/>
    </row>
    <row r="129" customHeight="1" spans="1:11">
      <c r="A129" s="8">
        <v>128</v>
      </c>
      <c r="B129" s="11" t="s">
        <v>1463</v>
      </c>
      <c r="C129" s="8" t="s">
        <v>1464</v>
      </c>
      <c r="D129" s="6" t="s">
        <v>15</v>
      </c>
      <c r="E129" s="6" t="s">
        <v>52</v>
      </c>
      <c r="F129" s="6">
        <v>43.6</v>
      </c>
      <c r="G129" s="6" t="s">
        <v>1455</v>
      </c>
      <c r="H129" s="6">
        <v>0.1</v>
      </c>
      <c r="I129" s="7" t="s">
        <v>1465</v>
      </c>
      <c r="J129" s="10">
        <v>1</v>
      </c>
      <c r="K129" s="13"/>
    </row>
    <row r="130" spans="1:11">
      <c r="A130" s="8">
        <v>129</v>
      </c>
      <c r="B130" s="11" t="s">
        <v>1466</v>
      </c>
      <c r="C130" s="8" t="s">
        <v>1467</v>
      </c>
      <c r="D130" s="6" t="s">
        <v>15</v>
      </c>
      <c r="E130" s="6" t="s">
        <v>52</v>
      </c>
      <c r="F130" s="6">
        <v>20</v>
      </c>
      <c r="G130" s="6" t="s">
        <v>1247</v>
      </c>
      <c r="H130" s="6">
        <v>1</v>
      </c>
      <c r="I130" s="7" t="s">
        <v>1468</v>
      </c>
      <c r="J130" s="10">
        <v>1</v>
      </c>
      <c r="K130" s="13"/>
    </row>
    <row r="131" spans="1:11">
      <c r="A131" s="8">
        <v>130</v>
      </c>
      <c r="B131" s="11" t="s">
        <v>1469</v>
      </c>
      <c r="C131" s="8" t="s">
        <v>1470</v>
      </c>
      <c r="D131" s="6" t="s">
        <v>15</v>
      </c>
      <c r="E131" s="6" t="s">
        <v>52</v>
      </c>
      <c r="F131" s="6">
        <v>5</v>
      </c>
      <c r="G131" s="6" t="s">
        <v>1247</v>
      </c>
      <c r="H131" s="6">
        <v>1</v>
      </c>
      <c r="I131" s="7" t="s">
        <v>1471</v>
      </c>
      <c r="J131" s="10">
        <v>1</v>
      </c>
      <c r="K131" s="13"/>
    </row>
    <row r="132" spans="1:11">
      <c r="A132" s="8">
        <v>131</v>
      </c>
      <c r="B132" s="11" t="s">
        <v>1472</v>
      </c>
      <c r="C132" s="8" t="s">
        <v>1473</v>
      </c>
      <c r="D132" s="6" t="s">
        <v>15</v>
      </c>
      <c r="E132" s="6" t="s">
        <v>52</v>
      </c>
      <c r="F132" s="6">
        <v>10</v>
      </c>
      <c r="G132" s="6" t="s">
        <v>1338</v>
      </c>
      <c r="H132" s="6">
        <v>1</v>
      </c>
      <c r="I132" s="7" t="s">
        <v>1383</v>
      </c>
      <c r="J132" s="10">
        <v>1</v>
      </c>
      <c r="K132" s="13"/>
    </row>
    <row r="133" spans="1:11">
      <c r="A133" s="8">
        <v>132</v>
      </c>
      <c r="B133" s="11" t="s">
        <v>1474</v>
      </c>
      <c r="C133" s="8" t="s">
        <v>1475</v>
      </c>
      <c r="D133" s="6" t="s">
        <v>15</v>
      </c>
      <c r="E133" s="6" t="s">
        <v>84</v>
      </c>
      <c r="F133" s="6">
        <v>0</v>
      </c>
      <c r="G133" s="6" t="s">
        <v>1476</v>
      </c>
      <c r="H133" s="6">
        <v>1</v>
      </c>
      <c r="I133" s="7" t="s">
        <v>1477</v>
      </c>
      <c r="J133" s="10">
        <v>1</v>
      </c>
      <c r="K133" s="13"/>
    </row>
    <row r="134" spans="1:11">
      <c r="A134" s="8">
        <v>133</v>
      </c>
      <c r="B134" s="11" t="s">
        <v>1478</v>
      </c>
      <c r="C134" s="8" t="s">
        <v>1479</v>
      </c>
      <c r="D134" s="6" t="s">
        <v>15</v>
      </c>
      <c r="E134" s="6" t="s">
        <v>52</v>
      </c>
      <c r="F134" s="6">
        <v>0</v>
      </c>
      <c r="G134" s="6" t="s">
        <v>100</v>
      </c>
      <c r="H134" s="6">
        <v>1</v>
      </c>
      <c r="I134" s="7" t="s">
        <v>1480</v>
      </c>
      <c r="J134" s="10">
        <v>1</v>
      </c>
      <c r="K134" s="13"/>
    </row>
    <row r="135" spans="1:11">
      <c r="A135" s="8">
        <v>134</v>
      </c>
      <c r="B135" s="11" t="s">
        <v>1481</v>
      </c>
      <c r="C135" s="8" t="s">
        <v>1482</v>
      </c>
      <c r="D135" s="6" t="s">
        <v>15</v>
      </c>
      <c r="E135" s="6" t="s">
        <v>52</v>
      </c>
      <c r="F135" s="6">
        <v>0</v>
      </c>
      <c r="G135" s="6" t="s">
        <v>900</v>
      </c>
      <c r="H135" s="6">
        <v>0.1</v>
      </c>
      <c r="I135" s="7" t="s">
        <v>1483</v>
      </c>
      <c r="J135" s="10">
        <v>1</v>
      </c>
      <c r="K135" s="14"/>
    </row>
    <row r="136" spans="1:11">
      <c r="A136" s="8">
        <v>135</v>
      </c>
      <c r="B136" s="7" t="s">
        <v>1484</v>
      </c>
      <c r="C136" s="8" t="s">
        <v>1485</v>
      </c>
      <c r="D136" s="6" t="s">
        <v>15</v>
      </c>
      <c r="E136" s="6" t="s">
        <v>52</v>
      </c>
      <c r="G136" s="6">
        <v>0</v>
      </c>
      <c r="H136" s="6">
        <v>1</v>
      </c>
      <c r="I136" s="7" t="s">
        <v>38</v>
      </c>
      <c r="J136" s="10">
        <v>1</v>
      </c>
      <c r="K136" s="12" t="s">
        <v>1486</v>
      </c>
    </row>
    <row r="137" spans="1:11">
      <c r="A137" s="8">
        <v>136</v>
      </c>
      <c r="B137" s="7" t="s">
        <v>1487</v>
      </c>
      <c r="C137" s="8" t="s">
        <v>1488</v>
      </c>
      <c r="D137" s="6" t="s">
        <v>15</v>
      </c>
      <c r="E137" s="6" t="s">
        <v>52</v>
      </c>
      <c r="G137" s="6">
        <v>0</v>
      </c>
      <c r="H137" s="6">
        <v>1</v>
      </c>
      <c r="I137" s="7" t="s">
        <v>38</v>
      </c>
      <c r="J137" s="10">
        <v>1</v>
      </c>
      <c r="K137" s="13"/>
    </row>
    <row r="138" spans="1:11">
      <c r="A138" s="8">
        <v>137</v>
      </c>
      <c r="B138" s="7" t="s">
        <v>1489</v>
      </c>
      <c r="C138" s="8" t="s">
        <v>1490</v>
      </c>
      <c r="D138" s="6" t="s">
        <v>15</v>
      </c>
      <c r="E138" s="6" t="s">
        <v>52</v>
      </c>
      <c r="G138" s="6">
        <v>0</v>
      </c>
      <c r="H138" s="6">
        <v>1</v>
      </c>
      <c r="I138" s="7" t="s">
        <v>38</v>
      </c>
      <c r="J138" s="10">
        <v>1</v>
      </c>
      <c r="K138" s="13"/>
    </row>
    <row r="139" spans="1:11">
      <c r="A139" s="8">
        <v>138</v>
      </c>
      <c r="B139" s="7" t="s">
        <v>1491</v>
      </c>
      <c r="C139" s="8" t="s">
        <v>1492</v>
      </c>
      <c r="D139" s="6" t="s">
        <v>15</v>
      </c>
      <c r="E139" s="6" t="s">
        <v>52</v>
      </c>
      <c r="G139" s="6">
        <v>0</v>
      </c>
      <c r="H139" s="6">
        <v>1</v>
      </c>
      <c r="I139" s="7" t="s">
        <v>38</v>
      </c>
      <c r="J139" s="10">
        <v>1</v>
      </c>
      <c r="K139" s="13"/>
    </row>
    <row r="140" spans="1:11">
      <c r="A140" s="8">
        <v>139</v>
      </c>
      <c r="B140" s="7" t="s">
        <v>1493</v>
      </c>
      <c r="C140" s="8" t="s">
        <v>1494</v>
      </c>
      <c r="D140" s="6" t="s">
        <v>15</v>
      </c>
      <c r="E140" s="6" t="s">
        <v>52</v>
      </c>
      <c r="G140" s="6">
        <v>0</v>
      </c>
      <c r="H140" s="6">
        <v>1</v>
      </c>
      <c r="I140" s="7" t="s">
        <v>38</v>
      </c>
      <c r="J140" s="10">
        <v>1</v>
      </c>
      <c r="K140" s="13"/>
    </row>
    <row r="141" spans="1:11">
      <c r="A141" s="8">
        <v>140</v>
      </c>
      <c r="B141" s="7" t="s">
        <v>1495</v>
      </c>
      <c r="C141" s="8" t="s">
        <v>1496</v>
      </c>
      <c r="D141" s="6" t="s">
        <v>15</v>
      </c>
      <c r="E141" s="6" t="s">
        <v>52</v>
      </c>
      <c r="G141" s="6">
        <v>0</v>
      </c>
      <c r="H141" s="6">
        <v>1</v>
      </c>
      <c r="I141" s="7" t="s">
        <v>38</v>
      </c>
      <c r="J141" s="10">
        <v>1</v>
      </c>
      <c r="K141" s="14"/>
    </row>
    <row r="142" spans="1:11">
      <c r="A142" s="8">
        <v>141</v>
      </c>
      <c r="B142" s="15" t="s">
        <v>1497</v>
      </c>
      <c r="C142" s="8" t="s">
        <v>1498</v>
      </c>
      <c r="D142" s="6" t="s">
        <v>15</v>
      </c>
      <c r="E142" s="6" t="s">
        <v>52</v>
      </c>
      <c r="F142" s="6" t="s">
        <v>1499</v>
      </c>
      <c r="G142" s="6" t="s">
        <v>1089</v>
      </c>
      <c r="H142" s="6">
        <v>0.1</v>
      </c>
      <c r="I142" s="7" t="s">
        <v>1500</v>
      </c>
      <c r="J142" s="10">
        <v>1</v>
      </c>
    </row>
    <row r="143" spans="1:11">
      <c r="A143" s="8">
        <v>142</v>
      </c>
      <c r="B143" s="15" t="s">
        <v>1501</v>
      </c>
      <c r="C143" s="8" t="s">
        <v>1502</v>
      </c>
      <c r="D143" s="6" t="s">
        <v>15</v>
      </c>
      <c r="E143" s="6" t="s">
        <v>52</v>
      </c>
      <c r="F143" s="6" t="s">
        <v>1503</v>
      </c>
      <c r="G143" s="6" t="s">
        <v>1504</v>
      </c>
      <c r="H143" s="6">
        <v>0.1</v>
      </c>
      <c r="I143" s="7" t="s">
        <v>1505</v>
      </c>
      <c r="J143" s="10">
        <v>1</v>
      </c>
    </row>
    <row r="144" spans="1:11">
      <c r="A144" s="8">
        <v>143</v>
      </c>
      <c r="B144" s="15" t="s">
        <v>1506</v>
      </c>
      <c r="C144" s="8" t="s">
        <v>1507</v>
      </c>
      <c r="D144" s="6" t="s">
        <v>15</v>
      </c>
      <c r="E144" s="6" t="s">
        <v>52</v>
      </c>
      <c r="F144" s="8">
        <v>253</v>
      </c>
      <c r="G144" s="6">
        <v>0</v>
      </c>
      <c r="H144" s="6">
        <v>0.1</v>
      </c>
      <c r="I144" s="7" t="s">
        <v>1508</v>
      </c>
      <c r="J144" s="10">
        <v>1</v>
      </c>
    </row>
    <row r="145" spans="1:12">
      <c r="A145" s="8">
        <v>144</v>
      </c>
      <c r="B145" s="15" t="s">
        <v>1509</v>
      </c>
      <c r="C145" s="8" t="s">
        <v>1510</v>
      </c>
      <c r="D145" s="6" t="s">
        <v>15</v>
      </c>
      <c r="E145" s="6" t="s">
        <v>52</v>
      </c>
      <c r="F145" s="8">
        <v>195.5</v>
      </c>
      <c r="G145" s="6">
        <v>0</v>
      </c>
      <c r="H145" s="6">
        <v>0.1</v>
      </c>
      <c r="I145" s="7" t="s">
        <v>1511</v>
      </c>
      <c r="J145" s="10">
        <v>1</v>
      </c>
    </row>
    <row r="146" spans="1:12">
      <c r="A146" s="8">
        <v>145</v>
      </c>
      <c r="B146" s="15" t="s">
        <v>1512</v>
      </c>
      <c r="C146" s="8" t="s">
        <v>1513</v>
      </c>
      <c r="D146" s="6" t="s">
        <v>15</v>
      </c>
      <c r="E146" s="6" t="s">
        <v>52</v>
      </c>
      <c r="F146" s="8">
        <v>1000</v>
      </c>
      <c r="G146" s="6" t="s">
        <v>1514</v>
      </c>
      <c r="H146" s="6">
        <v>1</v>
      </c>
      <c r="I146" s="7" t="s">
        <v>1515</v>
      </c>
      <c r="J146" s="10">
        <v>1</v>
      </c>
    </row>
    <row r="147" ht="252" spans="1:12">
      <c r="A147" s="8">
        <v>146</v>
      </c>
      <c r="B147" s="7" t="s">
        <v>1516</v>
      </c>
      <c r="C147" s="8" t="s">
        <v>1517</v>
      </c>
      <c r="D147" s="6" t="s">
        <v>15</v>
      </c>
      <c r="E147" s="6" t="s">
        <v>52</v>
      </c>
      <c r="G147" s="6" t="s">
        <v>117</v>
      </c>
      <c r="H147" s="6">
        <v>1</v>
      </c>
      <c r="J147" s="10">
        <v>1</v>
      </c>
      <c r="L147" s="19" t="s">
        <v>1518</v>
      </c>
    </row>
    <row r="148" spans="1:12">
      <c r="A148" s="8">
        <v>147</v>
      </c>
      <c r="B148" s="7" t="s">
        <v>38</v>
      </c>
      <c r="C148" s="8" t="s">
        <v>1519</v>
      </c>
      <c r="D148" s="6" t="s">
        <v>15</v>
      </c>
      <c r="E148" s="6" t="s">
        <v>52</v>
      </c>
      <c r="G148" s="6" t="s">
        <v>117</v>
      </c>
      <c r="H148" s="6">
        <v>1</v>
      </c>
      <c r="J148" s="10">
        <v>1</v>
      </c>
    </row>
    <row r="149" spans="1:12">
      <c r="A149" s="8">
        <v>148</v>
      </c>
      <c r="B149" s="7" t="s">
        <v>1520</v>
      </c>
      <c r="C149" s="8" t="s">
        <v>1521</v>
      </c>
      <c r="D149" s="6" t="s">
        <v>15</v>
      </c>
      <c r="E149" s="6" t="s">
        <v>52</v>
      </c>
      <c r="G149" s="6" t="s">
        <v>117</v>
      </c>
      <c r="H149" s="6">
        <v>1</v>
      </c>
      <c r="I149" s="7" t="s">
        <v>38</v>
      </c>
      <c r="J149" s="10">
        <v>1</v>
      </c>
      <c r="K149" s="7" t="s">
        <v>1522</v>
      </c>
    </row>
  </sheetData>
  <mergeCells count="14">
    <mergeCell ref="K3:K6"/>
    <mergeCell ref="K8:K13"/>
    <mergeCell ref="K14:K31"/>
    <mergeCell ref="K32:K35"/>
    <mergeCell ref="K36:K52"/>
    <mergeCell ref="K53:K54"/>
    <mergeCell ref="K55:K65"/>
    <mergeCell ref="K66:K68"/>
    <mergeCell ref="K69:K77"/>
    <mergeCell ref="K78:K91"/>
    <mergeCell ref="K92:K105"/>
    <mergeCell ref="K106:K118"/>
    <mergeCell ref="K119:K135"/>
    <mergeCell ref="K136:K14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说明</vt:lpstr>
      <vt:lpstr>遥控（DO）</vt:lpstr>
      <vt:lpstr>遥调（AO）</vt:lpstr>
      <vt:lpstr>遥测(AI)</vt:lpstr>
      <vt:lpstr>遥信（DI）</vt:lpstr>
      <vt:lpstr>通信设置参数</vt:lpstr>
      <vt:lpstr>BMS数据</vt:lpstr>
      <vt:lpstr>ARM-DSP交互参数</vt:lpstr>
      <vt:lpstr>单板测试参数</vt:lpstr>
      <vt:lpstr>安规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XIAOYONG MA</dc:creator>
  <cp:lastModifiedBy>原语</cp:lastModifiedBy>
  <dcterms:created xsi:type="dcterms:W3CDTF">2015-06-05T18:19:00Z</dcterms:created>
  <dcterms:modified xsi:type="dcterms:W3CDTF">2026-07-06T01:57:20Z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B6B2500B0423429AA6CA6BC18353F0C8_12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